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Game Input" sheetId="2" state="visible" r:id="rId2"/>
    <sheet name="Model Engine" sheetId="3" state="visible" r:id="rId3"/>
    <sheet name="Results Dashboard" sheetId="4" state="visible" r:id="rId4"/>
    <sheet name="Bet Tracker" sheetId="5" state="visible" r:id="rId5"/>
    <sheet name="Reference &amp; Gloss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MM/DD/YYYY"/>
  </numFmts>
  <fonts count="16">
    <font>
      <name val="Calibri"/>
      <family val="2"/>
      <color theme="1"/>
      <sz val="11"/>
      <scheme val="minor"/>
    </font>
    <font>
      <b val="1"/>
      <color rgb="00FFFFFF"/>
      <sz val="16"/>
    </font>
    <font>
      <color rgb="00000000"/>
      <sz val="11"/>
    </font>
    <font>
      <b val="1"/>
      <color rgb="00000000"/>
      <sz val="11"/>
    </font>
    <font>
      <b val="1"/>
      <color rgb="00FFFFFF"/>
      <sz val="11"/>
    </font>
    <font>
      <i val="1"/>
      <color rgb="002E7D32"/>
      <sz val="11"/>
    </font>
    <font>
      <b val="1"/>
      <color rgb="00000000"/>
      <sz val="12"/>
    </font>
    <font>
      <b val="1"/>
      <color rgb="001B2A4A"/>
      <sz val="12"/>
    </font>
    <font>
      <b val="1"/>
      <color rgb="002E7D32"/>
      <sz val="14"/>
    </font>
    <font>
      <b val="1"/>
      <color rgb="00C62828"/>
      <sz val="14"/>
    </font>
    <font>
      <b val="1"/>
      <color rgb="00000000"/>
      <sz val="14"/>
    </font>
    <font>
      <b val="1"/>
      <sz val="13"/>
    </font>
    <font>
      <b val="1"/>
      <sz val="14"/>
    </font>
    <font>
      <b val="1"/>
      <color rgb="001B2A4A"/>
      <sz val="11"/>
    </font>
    <font>
      <color rgb="00000000"/>
      <sz val="10"/>
    </font>
    <font>
      <b val="1"/>
      <color rgb="001B2A4A"/>
      <sz val="10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EF2F7"/>
      </patternFill>
    </fill>
    <fill>
      <patternFill patternType="solid">
        <fgColor rgb="00E8EDF3"/>
      </patternFill>
    </fill>
    <fill>
      <patternFill patternType="solid">
        <fgColor rgb="00F8FA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2" fontId="7" fillId="0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13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6" fontId="2" fillId="0" borderId="1" pivotButton="0" quotePrefix="0" xfId="0"/>
    <xf numFmtId="165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b val="1"/>
        <color rgb="001B5E20"/>
      </font>
      <fill>
        <patternFill patternType="solid">
          <fgColor rgb="00C8E6C9"/>
        </patternFill>
      </fill>
    </dxf>
    <dxf>
      <font>
        <b val="1"/>
        <color rgb="00E65100"/>
      </font>
      <fill>
        <patternFill patternType="solid">
          <fgColor rgb="00FFE0B2"/>
        </patternFill>
      </fill>
    </dxf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1B5E20"/>
        <sz val="14"/>
      </font>
      <fill>
        <patternFill patternType="solid">
          <fgColor rgb="00C8E6C9"/>
        </patternFill>
      </fill>
    </dxf>
    <dxf>
      <font>
        <b val="1"/>
        <color rgb="00B71C1C"/>
        <sz val="14"/>
      </font>
      <fill>
        <patternFill patternType="solid">
          <fgColor rgb="00FFCDD2"/>
        </patternFill>
      </fill>
    </dxf>
    <dxf>
      <font>
        <b val="1"/>
        <color rgb="00424242"/>
        <sz val="14"/>
      </font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Arizona Diamondbacks</t>
        </is>
      </c>
    </row>
    <row r="2">
      <c r="A2" t="inlineStr">
        <is>
          <t>Atlanta Braves</t>
        </is>
      </c>
    </row>
    <row r="3">
      <c r="A3" t="inlineStr">
        <is>
          <t>Baltimore Orioles</t>
        </is>
      </c>
    </row>
    <row r="4">
      <c r="A4" t="inlineStr">
        <is>
          <t>Boston Red Sox</t>
        </is>
      </c>
    </row>
    <row r="5">
      <c r="A5" t="inlineStr">
        <is>
          <t>Chicago Cubs</t>
        </is>
      </c>
    </row>
    <row r="6">
      <c r="A6" t="inlineStr">
        <is>
          <t>Chicago White Sox</t>
        </is>
      </c>
    </row>
    <row r="7">
      <c r="A7" t="inlineStr">
        <is>
          <t>Cincinnati Reds</t>
        </is>
      </c>
    </row>
    <row r="8">
      <c r="A8" t="inlineStr">
        <is>
          <t>Cleveland Guardians</t>
        </is>
      </c>
    </row>
    <row r="9">
      <c r="A9" t="inlineStr">
        <is>
          <t>Colorado Rockies</t>
        </is>
      </c>
    </row>
    <row r="10">
      <c r="A10" t="inlineStr">
        <is>
          <t>Detroit Tigers</t>
        </is>
      </c>
    </row>
    <row r="11">
      <c r="A11" t="inlineStr">
        <is>
          <t>Houston Astros</t>
        </is>
      </c>
    </row>
    <row r="12">
      <c r="A12" t="inlineStr">
        <is>
          <t>Kansas City Royals</t>
        </is>
      </c>
    </row>
    <row r="13">
      <c r="A13" t="inlineStr">
        <is>
          <t>Los Angeles Angels</t>
        </is>
      </c>
    </row>
    <row r="14">
      <c r="A14" t="inlineStr">
        <is>
          <t>Los Angeles Dodgers</t>
        </is>
      </c>
    </row>
    <row r="15">
      <c r="A15" t="inlineStr">
        <is>
          <t>Miami Marlins</t>
        </is>
      </c>
    </row>
    <row r="16">
      <c r="A16" t="inlineStr">
        <is>
          <t>Milwaukee Brewers</t>
        </is>
      </c>
    </row>
    <row r="17">
      <c r="A17" t="inlineStr">
        <is>
          <t>Minnesota Twins</t>
        </is>
      </c>
    </row>
    <row r="18">
      <c r="A18" t="inlineStr">
        <is>
          <t>New York Mets</t>
        </is>
      </c>
    </row>
    <row r="19">
      <c r="A19" t="inlineStr">
        <is>
          <t>New York Yankees</t>
        </is>
      </c>
    </row>
    <row r="20">
      <c r="A20" t="inlineStr">
        <is>
          <t>Oakland Athletics</t>
        </is>
      </c>
    </row>
    <row r="21">
      <c r="A21" t="inlineStr">
        <is>
          <t>Philadelphia Phillies</t>
        </is>
      </c>
    </row>
    <row r="22">
      <c r="A22" t="inlineStr">
        <is>
          <t>Pittsburgh Pirates</t>
        </is>
      </c>
    </row>
    <row r="23">
      <c r="A23" t="inlineStr">
        <is>
          <t>San Diego Padres</t>
        </is>
      </c>
    </row>
    <row r="24">
      <c r="A24" t="inlineStr">
        <is>
          <t>San Francisco Giants</t>
        </is>
      </c>
    </row>
    <row r="25">
      <c r="A25" t="inlineStr">
        <is>
          <t>Seattle Mariners</t>
        </is>
      </c>
    </row>
    <row r="26">
      <c r="A26" t="inlineStr">
        <is>
          <t>St. Louis Cardinals</t>
        </is>
      </c>
    </row>
    <row r="27">
      <c r="A27" t="inlineStr">
        <is>
          <t>Tampa Bay Rays</t>
        </is>
      </c>
    </row>
    <row r="28">
      <c r="A28" t="inlineStr">
        <is>
          <t>Texas Rangers</t>
        </is>
      </c>
    </row>
    <row r="29">
      <c r="A29" t="inlineStr">
        <is>
          <t>Toronto Blue Jays</t>
        </is>
      </c>
    </row>
    <row r="30">
      <c r="A30" t="inlineStr">
        <is>
          <t>Washington Nationals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MLB BETTING MODEL — GAME INPUT</t>
        </is>
      </c>
    </row>
    <row r="2" ht="8" customHeight="1"/>
    <row r="3">
      <c r="A3" s="2" t="inlineStr">
        <is>
          <t>MATCHUP</t>
        </is>
      </c>
      <c r="B3" s="3" t="inlineStr">
        <is>
          <t>HOME</t>
        </is>
      </c>
      <c r="C3" s="3" t="inlineStr">
        <is>
          <t>AWAY</t>
        </is>
      </c>
    </row>
    <row r="4">
      <c r="A4" s="4" t="inlineStr">
        <is>
          <t>Team</t>
        </is>
      </c>
      <c r="B4" s="5" t="n"/>
      <c r="C4" s="5" t="n"/>
    </row>
    <row r="5">
      <c r="A5" s="4" t="inlineStr">
        <is>
          <t>Starting Pitcher</t>
        </is>
      </c>
      <c r="B5" s="5" t="n"/>
      <c r="C5" s="5" t="n"/>
    </row>
    <row r="6" ht="8" customHeight="1"/>
    <row r="7">
      <c r="A7" s="6" t="inlineStr">
        <is>
          <t>PITCHER STATS</t>
        </is>
      </c>
    </row>
    <row r="8">
      <c r="A8" s="4" t="inlineStr">
        <is>
          <t>ERA</t>
        </is>
      </c>
      <c r="B8" s="5" t="n"/>
      <c r="C8" s="5" t="n"/>
    </row>
    <row r="9">
      <c r="A9" s="4" t="inlineStr">
        <is>
          <t>FIP</t>
        </is>
      </c>
      <c r="B9" s="5" t="n"/>
      <c r="C9" s="5" t="n"/>
    </row>
    <row r="10">
      <c r="A10" s="4" t="inlineStr">
        <is>
          <t>xFIP</t>
        </is>
      </c>
      <c r="B10" s="5" t="n"/>
      <c r="C10" s="5" t="n"/>
    </row>
    <row r="11">
      <c r="A11" s="4" t="inlineStr">
        <is>
          <t>SIERA</t>
        </is>
      </c>
      <c r="B11" s="5" t="n"/>
      <c r="C11" s="5" t="n"/>
    </row>
    <row r="12">
      <c r="A12" s="4" t="inlineStr">
        <is>
          <t>K/9</t>
        </is>
      </c>
      <c r="B12" s="5" t="n"/>
      <c r="C12" s="5" t="n"/>
    </row>
    <row r="13">
      <c r="A13" s="4" t="inlineStr">
        <is>
          <t>BB/9</t>
        </is>
      </c>
      <c r="B13" s="5" t="n"/>
      <c r="C13" s="5" t="n"/>
    </row>
    <row r="14">
      <c r="A14" s="4" t="inlineStr">
        <is>
          <t>BABIP</t>
        </is>
      </c>
      <c r="B14" s="5" t="n"/>
      <c r="C14" s="5" t="n"/>
    </row>
    <row r="15">
      <c r="A15" s="4" t="inlineStr">
        <is>
          <t>HR/FB%</t>
        </is>
      </c>
      <c r="B15" s="5" t="n"/>
      <c r="C15" s="5" t="n"/>
    </row>
    <row r="16">
      <c r="A16" s="4" t="inlineStr">
        <is>
          <t>GB%</t>
        </is>
      </c>
      <c r="B16" s="5" t="n"/>
      <c r="C16" s="5" t="n"/>
    </row>
    <row r="17">
      <c r="A17" s="4" t="inlineStr">
        <is>
          <t>Recent Form (Last 5 ERA)</t>
        </is>
      </c>
      <c r="B17" s="5" t="n"/>
      <c r="C17" s="5" t="n"/>
    </row>
    <row r="18" ht="8" customHeight="1"/>
    <row r="19">
      <c r="A19" s="6" t="inlineStr">
        <is>
          <t>TEAM OFFENSE</t>
        </is>
      </c>
    </row>
    <row r="20">
      <c r="A20" s="4" t="inlineStr">
        <is>
          <t>wOBA</t>
        </is>
      </c>
      <c r="B20" s="5" t="n"/>
      <c r="C20" s="5" t="n"/>
    </row>
    <row r="21">
      <c r="A21" s="4" t="inlineStr">
        <is>
          <t>wRC+</t>
        </is>
      </c>
      <c r="B21" s="5" t="n"/>
      <c r="C21" s="5" t="n"/>
    </row>
    <row r="22">
      <c r="A22" s="4" t="inlineStr">
        <is>
          <t>OPS</t>
        </is>
      </c>
      <c r="B22" s="5" t="n"/>
      <c r="C22" s="5" t="n"/>
    </row>
    <row r="23">
      <c r="A23" s="4" t="inlineStr">
        <is>
          <t>Team BABIP</t>
        </is>
      </c>
      <c r="B23" s="5" t="n"/>
      <c r="C23" s="5" t="n"/>
    </row>
    <row r="24">
      <c r="A24" s="4" t="inlineStr">
        <is>
          <t>Barrel Rate %</t>
        </is>
      </c>
      <c r="B24" s="5" t="n"/>
      <c r="C24" s="5" t="n"/>
    </row>
    <row r="25" ht="8" customHeight="1"/>
    <row r="26">
      <c r="A26" s="6" t="inlineStr">
        <is>
          <t>BULLPEN</t>
        </is>
      </c>
    </row>
    <row r="27">
      <c r="A27" s="4" t="inlineStr">
        <is>
          <t>Bullpen ERA (Last 14 Days)</t>
        </is>
      </c>
      <c r="B27" s="5" t="n"/>
      <c r="C27" s="5" t="n"/>
    </row>
    <row r="28">
      <c r="A28" s="4" t="inlineStr">
        <is>
          <t>Bullpen WHIP</t>
        </is>
      </c>
      <c r="B28" s="5" t="n"/>
      <c r="C28" s="5" t="n"/>
    </row>
    <row r="29" ht="8" customHeight="1"/>
    <row r="30">
      <c r="A30" s="6" t="inlineStr">
        <is>
          <t>CONTEXT</t>
        </is>
      </c>
    </row>
    <row r="31">
      <c r="A31" s="4" t="inlineStr">
        <is>
          <t>Park Factor</t>
        </is>
      </c>
      <c r="B31" s="7">
        <f>IFERROR(VLOOKUP(B4,'Model Engine'!$A$2:$C$31,3,FALSE),100)</f>
        <v/>
      </c>
      <c r="C31" s="7">
        <f>IFERROR(VLOOKUP(C4,'Model Engine'!$A$2:$C$31,3,FALSE),100)</f>
        <v/>
      </c>
    </row>
    <row r="32">
      <c r="A32" s="4" t="inlineStr">
        <is>
          <t>Wind Speed (mph)</t>
        </is>
      </c>
      <c r="B32" s="5" t="n"/>
    </row>
    <row r="33">
      <c r="A33" s="4" t="inlineStr">
        <is>
          <t>Wind Direction</t>
        </is>
      </c>
      <c r="B33" s="5" t="n"/>
    </row>
    <row r="34">
      <c r="A34" s="4" t="inlineStr">
        <is>
          <t>Temperature (°F)</t>
        </is>
      </c>
      <c r="B34" s="5" t="n"/>
    </row>
    <row r="35">
      <c r="A35" s="4" t="inlineStr">
        <is>
          <t>Days of Rest (Home)</t>
        </is>
      </c>
      <c r="B35" s="5" t="n"/>
    </row>
    <row r="36">
      <c r="A36" s="4" t="inlineStr">
        <is>
          <t>Days of Rest (Away)</t>
        </is>
      </c>
      <c r="C36" s="5" t="n"/>
    </row>
    <row r="37" ht="8" customHeight="1"/>
    <row r="38">
      <c r="A38" s="6" t="inlineStr">
        <is>
          <t>VEGAS LINES</t>
        </is>
      </c>
    </row>
    <row r="39">
      <c r="A39" s="4" t="inlineStr">
        <is>
          <t>Moneyline Odds</t>
        </is>
      </c>
      <c r="B39" s="5" t="n"/>
      <c r="C39" s="5" t="n"/>
    </row>
    <row r="40" ht="8" customHeight="1"/>
    <row r="41">
      <c r="A41" s="8" t="inlineStr">
        <is>
          <t>→ Go to Results Dashboard sheet to see model output</t>
        </is>
      </c>
    </row>
  </sheetData>
  <mergeCells count="7">
    <mergeCell ref="A19:C19"/>
    <mergeCell ref="A41:E41"/>
    <mergeCell ref="A1:E1"/>
    <mergeCell ref="A30:C30"/>
    <mergeCell ref="A7:C7"/>
    <mergeCell ref="A26:C26"/>
    <mergeCell ref="A38:C38"/>
  </mergeCells>
  <dataValidations count="2">
    <dataValidation sqref="B4 C4" showDropDown="0" showInputMessage="0" showErrorMessage="0" allowBlank="1" type="list">
      <formula1>Lists!$A$1:$A$30</formula1>
    </dataValidation>
    <dataValidation sqref="B33" showDropDown="0" showInputMessage="0" showErrorMessage="0" allowBlank="1" type="list">
      <formula1>"In,Out,Cross"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9" t="inlineStr">
        <is>
          <t>Team</t>
        </is>
      </c>
      <c r="B1" s="9" t="inlineStr">
        <is>
          <t>Park Name</t>
        </is>
      </c>
      <c r="C1" s="9" t="inlineStr">
        <is>
          <t>Park Factor</t>
        </is>
      </c>
    </row>
    <row r="2">
      <c r="A2" s="10" t="inlineStr">
        <is>
          <t>Arizona Diamondbacks</t>
        </is>
      </c>
      <c r="B2" s="10" t="inlineStr">
        <is>
          <t>Chase Field</t>
        </is>
      </c>
      <c r="C2" s="11" t="n">
        <v>99</v>
      </c>
    </row>
    <row r="3">
      <c r="A3" s="12" t="inlineStr">
        <is>
          <t>Atlanta Braves</t>
        </is>
      </c>
      <c r="B3" s="12" t="inlineStr">
        <is>
          <t>Truist Park</t>
        </is>
      </c>
      <c r="C3" s="13" t="n">
        <v>102</v>
      </c>
    </row>
    <row r="4">
      <c r="A4" s="10" t="inlineStr">
        <is>
          <t>Baltimore Orioles</t>
        </is>
      </c>
      <c r="B4" s="10" t="inlineStr">
        <is>
          <t>Oriole Park</t>
        </is>
      </c>
      <c r="C4" s="11" t="n">
        <v>98</v>
      </c>
    </row>
    <row r="5">
      <c r="A5" s="12" t="inlineStr">
        <is>
          <t>Boston Red Sox</t>
        </is>
      </c>
      <c r="B5" s="12" t="inlineStr">
        <is>
          <t>Fenway Park</t>
        </is>
      </c>
      <c r="C5" s="13" t="n">
        <v>106</v>
      </c>
    </row>
    <row r="6">
      <c r="A6" s="10" t="inlineStr">
        <is>
          <t>Chicago Cubs</t>
        </is>
      </c>
      <c r="B6" s="10" t="inlineStr">
        <is>
          <t>Wrigley Field</t>
        </is>
      </c>
      <c r="C6" s="11" t="n">
        <v>103</v>
      </c>
    </row>
    <row r="7">
      <c r="A7" s="12" t="inlineStr">
        <is>
          <t>Chicago White Sox</t>
        </is>
      </c>
      <c r="B7" s="12" t="inlineStr">
        <is>
          <t>Guaranteed Rate Field</t>
        </is>
      </c>
      <c r="C7" s="13" t="n">
        <v>97</v>
      </c>
    </row>
    <row r="8">
      <c r="A8" s="10" t="inlineStr">
        <is>
          <t>Cincinnati Reds</t>
        </is>
      </c>
      <c r="B8" s="10" t="inlineStr">
        <is>
          <t>Great American Ball Park</t>
        </is>
      </c>
      <c r="C8" s="11" t="n">
        <v>105</v>
      </c>
    </row>
    <row r="9">
      <c r="A9" s="12" t="inlineStr">
        <is>
          <t>Cleveland Guardians</t>
        </is>
      </c>
      <c r="B9" s="12" t="inlineStr">
        <is>
          <t>Progressive Field</t>
        </is>
      </c>
      <c r="C9" s="13" t="n">
        <v>97</v>
      </c>
    </row>
    <row r="10">
      <c r="A10" s="10" t="inlineStr">
        <is>
          <t>Colorado Rockies</t>
        </is>
      </c>
      <c r="B10" s="10" t="inlineStr">
        <is>
          <t>Coors Field</t>
        </is>
      </c>
      <c r="C10" s="11" t="n">
        <v>115</v>
      </c>
    </row>
    <row r="11">
      <c r="A11" s="12" t="inlineStr">
        <is>
          <t>Detroit Tigers</t>
        </is>
      </c>
      <c r="B11" s="12" t="inlineStr">
        <is>
          <t>Comerica Park</t>
        </is>
      </c>
      <c r="C11" s="13" t="n">
        <v>99</v>
      </c>
    </row>
    <row r="12">
      <c r="A12" s="10" t="inlineStr">
        <is>
          <t>Houston Astros</t>
        </is>
      </c>
      <c r="B12" s="10" t="inlineStr">
        <is>
          <t>Minute Maid Park</t>
        </is>
      </c>
      <c r="C12" s="11" t="n">
        <v>101</v>
      </c>
    </row>
    <row r="13">
      <c r="A13" s="12" t="inlineStr">
        <is>
          <t>Kansas City Royals</t>
        </is>
      </c>
      <c r="B13" s="12" t="inlineStr">
        <is>
          <t>Kauffman Stadium</t>
        </is>
      </c>
      <c r="C13" s="13" t="n">
        <v>98</v>
      </c>
    </row>
    <row r="14">
      <c r="A14" s="10" t="inlineStr">
        <is>
          <t>Los Angeles Angels</t>
        </is>
      </c>
      <c r="B14" s="10" t="inlineStr">
        <is>
          <t>Angel Stadium</t>
        </is>
      </c>
      <c r="C14" s="11" t="n">
        <v>98</v>
      </c>
    </row>
    <row r="15">
      <c r="A15" s="12" t="inlineStr">
        <is>
          <t>Los Angeles Dodgers</t>
        </is>
      </c>
      <c r="B15" s="12" t="inlineStr">
        <is>
          <t>Dodger Stadium</t>
        </is>
      </c>
      <c r="C15" s="13" t="n">
        <v>101</v>
      </c>
    </row>
    <row r="16">
      <c r="A16" s="10" t="inlineStr">
        <is>
          <t>Miami Marlins</t>
        </is>
      </c>
      <c r="B16" s="10" t="inlineStr">
        <is>
          <t>loanDepot park</t>
        </is>
      </c>
      <c r="C16" s="11" t="n">
        <v>97</v>
      </c>
    </row>
    <row r="17">
      <c r="A17" s="12" t="inlineStr">
        <is>
          <t>Milwaukee Brewers</t>
        </is>
      </c>
      <c r="B17" s="12" t="inlineStr">
        <is>
          <t>American Family Field</t>
        </is>
      </c>
      <c r="C17" s="13" t="n">
        <v>100</v>
      </c>
    </row>
    <row r="18">
      <c r="A18" s="10" t="inlineStr">
        <is>
          <t>Minnesota Twins</t>
        </is>
      </c>
      <c r="B18" s="10" t="inlineStr">
        <is>
          <t>Target Field</t>
        </is>
      </c>
      <c r="C18" s="11" t="n">
        <v>99</v>
      </c>
    </row>
    <row r="19">
      <c r="A19" s="12" t="inlineStr">
        <is>
          <t>New York Mets</t>
        </is>
      </c>
      <c r="B19" s="12" t="inlineStr">
        <is>
          <t>Citi Field</t>
        </is>
      </c>
      <c r="C19" s="13" t="n">
        <v>99</v>
      </c>
    </row>
    <row r="20">
      <c r="A20" s="10" t="inlineStr">
        <is>
          <t>New York Yankees</t>
        </is>
      </c>
      <c r="B20" s="10" t="inlineStr">
        <is>
          <t>Yankee Stadium</t>
        </is>
      </c>
      <c r="C20" s="11" t="n">
        <v>102</v>
      </c>
    </row>
    <row r="21">
      <c r="A21" s="12" t="inlineStr">
        <is>
          <t>Oakland Athletics</t>
        </is>
      </c>
      <c r="B21" s="12" t="inlineStr">
        <is>
          <t>Oakland Coliseum</t>
        </is>
      </c>
      <c r="C21" s="13" t="n">
        <v>96</v>
      </c>
    </row>
    <row r="22">
      <c r="A22" s="10" t="inlineStr">
        <is>
          <t>Philadelphia Phillies</t>
        </is>
      </c>
      <c r="B22" s="10" t="inlineStr">
        <is>
          <t>Citizens Bank Park</t>
        </is>
      </c>
      <c r="C22" s="11" t="n">
        <v>103</v>
      </c>
    </row>
    <row r="23">
      <c r="A23" s="12" t="inlineStr">
        <is>
          <t>Pittsburgh Pirates</t>
        </is>
      </c>
      <c r="B23" s="12" t="inlineStr">
        <is>
          <t>PNC Park</t>
        </is>
      </c>
      <c r="C23" s="13" t="n">
        <v>98</v>
      </c>
    </row>
    <row r="24">
      <c r="A24" s="10" t="inlineStr">
        <is>
          <t>San Diego Padres</t>
        </is>
      </c>
      <c r="B24" s="10" t="inlineStr">
        <is>
          <t>Petco Park</t>
        </is>
      </c>
      <c r="C24" s="11" t="n">
        <v>97</v>
      </c>
    </row>
    <row r="25">
      <c r="A25" s="12" t="inlineStr">
        <is>
          <t>San Francisco Giants</t>
        </is>
      </c>
      <c r="B25" s="12" t="inlineStr">
        <is>
          <t>Oracle Park</t>
        </is>
      </c>
      <c r="C25" s="13" t="n">
        <v>99</v>
      </c>
    </row>
    <row r="26">
      <c r="A26" s="10" t="inlineStr">
        <is>
          <t>Seattle Mariners</t>
        </is>
      </c>
      <c r="B26" s="10" t="inlineStr">
        <is>
          <t>T-Mobile Park</t>
        </is>
      </c>
      <c r="C26" s="11" t="n">
        <v>98</v>
      </c>
    </row>
    <row r="27">
      <c r="A27" s="12" t="inlineStr">
        <is>
          <t>St. Louis Cardinals</t>
        </is>
      </c>
      <c r="B27" s="12" t="inlineStr">
        <is>
          <t>Busch Stadium</t>
        </is>
      </c>
      <c r="C27" s="13" t="n">
        <v>100</v>
      </c>
    </row>
    <row r="28">
      <c r="A28" s="10" t="inlineStr">
        <is>
          <t>Tampa Bay Rays</t>
        </is>
      </c>
      <c r="B28" s="10" t="inlineStr">
        <is>
          <t>Tropicana Field</t>
        </is>
      </c>
      <c r="C28" s="11" t="n">
        <v>97</v>
      </c>
    </row>
    <row r="29">
      <c r="A29" s="12" t="inlineStr">
        <is>
          <t>Texas Rangers</t>
        </is>
      </c>
      <c r="B29" s="12" t="inlineStr">
        <is>
          <t>Globe Life Field</t>
        </is>
      </c>
      <c r="C29" s="13" t="n">
        <v>104</v>
      </c>
    </row>
    <row r="30">
      <c r="A30" s="10" t="inlineStr">
        <is>
          <t>Toronto Blue Jays</t>
        </is>
      </c>
      <c r="B30" s="10" t="inlineStr">
        <is>
          <t>Rogers Centre</t>
        </is>
      </c>
      <c r="C30" s="11" t="n">
        <v>100</v>
      </c>
    </row>
    <row r="31">
      <c r="A31" s="12" t="inlineStr">
        <is>
          <t>Washington Nationals</t>
        </is>
      </c>
      <c r="B31" s="12" t="inlineStr">
        <is>
          <t>Nationals Park</t>
        </is>
      </c>
      <c r="C31" s="13" t="n">
        <v>97</v>
      </c>
    </row>
    <row r="34" ht="20" customHeight="1">
      <c r="A34" s="6" t="inlineStr">
        <is>
          <t>MODEL CALCULATIONS</t>
        </is>
      </c>
    </row>
    <row r="35">
      <c r="A35" s="14" t="inlineStr">
        <is>
          <t>Home Pitcher Score</t>
        </is>
      </c>
    </row>
    <row r="36">
      <c r="B36" s="7">
        <f>MAX(0,MIN(100,(((4.20-'Game Input'!B9)/4.20)*30)+(((4.15-'Game Input'!B10)/4.15)*25)+(((4.10-'Game Input'!B11)/4.10)*20)+(((('Game Input'!B12)-8.9)/8.9)*10)+(((3.2-'Game Input'!B13)/3.2)*10)+(((4.20-'Game Input'!B17)/4.20)*5)+50))</f>
        <v/>
      </c>
    </row>
    <row r="37">
      <c r="A37" s="14" t="inlineStr">
        <is>
          <t>Away Pitcher Score</t>
        </is>
      </c>
    </row>
    <row r="38">
      <c r="B38" s="7">
        <f>MAX(0,MIN(100,(((4.20-'Game Input'!C9)/4.20)*30)+(((4.15-'Game Input'!C10)/4.15)*25)+(((4.10-'Game Input'!C11)/4.10)*20)+(((('Game Input'!C12)-8.9)/8.9)*10)+(((3.2-'Game Input'!C13)/3.2)*10)+(((4.20-'Game Input'!C17)/4.20)*5)+50))</f>
        <v/>
      </c>
    </row>
    <row r="39">
      <c r="A39" s="14" t="inlineStr">
        <is>
          <t>Home Offense Score</t>
        </is>
      </c>
    </row>
    <row r="40">
      <c r="B40" s="7">
        <f>MAX(0,MIN(100,((('Game Input'!B21-100)/100)*40)+(((('Game Input'!B20)-0.315)/0.315)*35)+(((('Game Input'!B24)-8.5)/8.5)*15)+(((('Game Input'!B23)-0.315)/0.315)*10)+50))</f>
        <v/>
      </c>
    </row>
    <row r="41">
      <c r="A41" s="14" t="inlineStr">
        <is>
          <t>Away Offense Score</t>
        </is>
      </c>
    </row>
    <row r="42">
      <c r="B42" s="7">
        <f>MAX(0,MIN(100,((('Game Input'!C21-100)/100)*40)+(((('Game Input'!C20)-0.315)/0.315)*35)+(((('Game Input'!C24)-8.5)/8.5)*15)+(((('Game Input'!C23)-0.315)/0.315)*10)+50))</f>
        <v/>
      </c>
    </row>
    <row r="43">
      <c r="A43" s="14" t="inlineStr">
        <is>
          <t>Home Bullpen Score</t>
        </is>
      </c>
    </row>
    <row r="44">
      <c r="B44" s="7">
        <f>MAX(0,MIN(100,((4.30-'Game Input'!B27)/4.30)*60+((2.0-'Game Input'!B28)/2.0)*40+50))</f>
        <v/>
      </c>
    </row>
    <row r="45">
      <c r="A45" s="14" t="inlineStr">
        <is>
          <t>Away Bullpen Score</t>
        </is>
      </c>
    </row>
    <row r="46">
      <c r="B46" s="7">
        <f>MAX(0,MIN(100,((4.30-'Game Input'!C27)/4.30)*60+((2.0-'Game Input'!C28)/2.0)*40+50))</f>
        <v/>
      </c>
    </row>
    <row r="47">
      <c r="A47" s="14" t="inlineStr">
        <is>
          <t>Park Factor Adj (Home)</t>
        </is>
      </c>
    </row>
    <row r="48">
      <c r="B48" s="7">
        <f>('Game Input'!B31-100)/100*0.3</f>
        <v/>
      </c>
    </row>
    <row r="49">
      <c r="A49" s="14" t="inlineStr">
        <is>
          <t>Wind Adj</t>
        </is>
      </c>
    </row>
    <row r="50">
      <c r="B50" s="7">
        <f>IF('Game Input'!B33="Out",'Game Input'!B32*0.02,IF('Game Input'!B33="In",-'Game Input'!B32*0.015,0))</f>
        <v/>
      </c>
    </row>
    <row r="51">
      <c r="A51" s="14" t="inlineStr">
        <is>
          <t>Temp Adj</t>
        </is>
      </c>
    </row>
    <row r="52">
      <c r="B52" s="7">
        <f>IF('Game Input'!B34&lt;72,-(72-'Game Input'!B34)/10*0.005,0)</f>
        <v/>
      </c>
    </row>
    <row r="53">
      <c r="A53" s="14" t="inlineStr">
        <is>
          <t>Rest Adj (Home)</t>
        </is>
      </c>
    </row>
    <row r="54">
      <c r="B54" s="7">
        <f>IF(('Game Input'!B35-'Game Input'!C36)&gt;=2,0.03,IF(('Game Input'!C36-'Game Input'!B35)&gt;=2,-0.03,0))</f>
        <v/>
      </c>
    </row>
    <row r="55">
      <c r="A55" s="14" t="inlineStr">
        <is>
          <t>Expected Runs — Home</t>
        </is>
      </c>
    </row>
    <row r="56">
      <c r="B56" s="7">
        <f>MAX(1.5,MIN(12,3.5+(B40/100)*3+(-B38/100)*1.5+(B44/100)*1+B48+B50+B52+B54))</f>
        <v/>
      </c>
    </row>
    <row r="57">
      <c r="A57" s="14" t="inlineStr">
        <is>
          <t>Expected Runs — Away</t>
        </is>
      </c>
    </row>
    <row r="58">
      <c r="B58" s="7">
        <f>MAX(1.5,MIN(12,3.5+(B42/100)*3+(-B36/100)*1.5+(B46/100)*1+B48+B50+B52-B54))</f>
        <v/>
      </c>
    </row>
    <row r="59">
      <c r="A59" s="14" t="inlineStr">
        <is>
          <t>Run Differential</t>
        </is>
      </c>
    </row>
    <row r="60">
      <c r="B60" s="7">
        <f>B56-B58</f>
        <v/>
      </c>
    </row>
    <row r="61">
      <c r="A61" s="14" t="inlineStr">
        <is>
          <t>Home Win Probability</t>
        </is>
      </c>
    </row>
    <row r="62">
      <c r="B62" s="7">
        <f>1/(1+EXP(-B60*0.8))</f>
        <v/>
      </c>
    </row>
    <row r="63">
      <c r="A63" s="14" t="inlineStr">
        <is>
          <t>Away Win Probability</t>
        </is>
      </c>
    </row>
    <row r="64">
      <c r="B64" s="7">
        <f>1-B62</f>
        <v/>
      </c>
    </row>
    <row r="65">
      <c r="A65" s="14" t="inlineStr">
        <is>
          <t>Home Implied Prob</t>
        </is>
      </c>
    </row>
    <row r="66">
      <c r="B66" s="7">
        <f>IF('Game Input'!B39&lt;0,ABS('Game Input'!B39)/(ABS('Game Input'!B39)+100),100/('Game Input'!B39+100))</f>
        <v/>
      </c>
    </row>
    <row r="67">
      <c r="A67" s="14" t="inlineStr">
        <is>
          <t>Away Implied Prob</t>
        </is>
      </c>
    </row>
    <row r="68">
      <c r="B68" s="7">
        <f>IF('Game Input'!C39&lt;0,ABS('Game Input'!C39)/(ABS('Game Input'!C39)+100),100/('Game Input'!C39+100))</f>
        <v/>
      </c>
    </row>
    <row r="69">
      <c r="A69" s="14" t="inlineStr">
        <is>
          <t>Home Edge %</t>
        </is>
      </c>
    </row>
    <row r="70">
      <c r="B70" s="7">
        <f>B62-B66</f>
        <v/>
      </c>
    </row>
    <row r="71">
      <c r="A71" s="14" t="inlineStr">
        <is>
          <t>Away Edge %</t>
        </is>
      </c>
    </row>
    <row r="72">
      <c r="B72" s="7">
        <f>B64-B68</f>
        <v/>
      </c>
    </row>
    <row r="73">
      <c r="A73" s="14" t="inlineStr">
        <is>
          <t>Home Value?</t>
        </is>
      </c>
    </row>
    <row r="74">
      <c r="B74" s="7">
        <f>IF(B70&gt;0.05,"VALUE BET",IF(B70&gt;0.02,"WATCH","NO VALUE"))</f>
        <v/>
      </c>
    </row>
    <row r="75">
      <c r="A75" s="14" t="inlineStr">
        <is>
          <t>Away Value?</t>
        </is>
      </c>
    </row>
    <row r="76">
      <c r="B76" s="7">
        <f>IF(B72&gt;0.05,"VALUE BET",IF(B72&gt;0.02,"WATCH","NO VALUE"))</f>
        <v/>
      </c>
    </row>
    <row r="77">
      <c r="A77" s="14" t="inlineStr">
        <is>
          <t>Total Expected Runs</t>
        </is>
      </c>
    </row>
    <row r="78">
      <c r="B78" s="7">
        <f>B56+B58</f>
        <v/>
      </c>
    </row>
    <row r="79">
      <c r="A79" s="14" t="inlineStr">
        <is>
          <t>Confidence Level</t>
        </is>
      </c>
    </row>
    <row r="80">
      <c r="B80" s="7">
        <f>IF(MAX(B70,B72)&gt;0.08,"High",IF(MAX(B70,B72)&gt;0.04,"Medium","Low"))</f>
        <v/>
      </c>
    </row>
  </sheetData>
  <mergeCells count="1">
    <mergeCell ref="A34:C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0" customWidth="1" min="3" max="3"/>
    <col width="20" customWidth="1" min="4" max="4"/>
    <col width="20" customWidth="1" min="5" max="5"/>
    <col width="15" customWidth="1" min="6" max="6"/>
    <col width="15" customWidth="1" min="7" max="7"/>
  </cols>
  <sheetData>
    <row r="1" ht="30" customHeight="1">
      <c r="A1" s="1" t="inlineStr">
        <is>
          <t>MLB BETTING MODEL — RESULTS DASHBOARD</t>
        </is>
      </c>
    </row>
    <row r="2" ht="8" customHeight="1"/>
    <row r="3">
      <c r="A3" s="15" t="inlineStr">
        <is>
          <t>Matchup:</t>
        </is>
      </c>
      <c r="B3" s="16">
        <f>'Game Input'!B4</f>
        <v/>
      </c>
      <c r="C3" s="17" t="inlineStr">
        <is>
          <t>VS</t>
        </is>
      </c>
      <c r="D3" s="16">
        <f>'Game Input'!C4</f>
        <v/>
      </c>
    </row>
    <row r="4" ht="8" customHeight="1"/>
    <row r="5">
      <c r="A5" s="6" t="inlineStr">
        <is>
          <t>MATCHUP SUMMARY</t>
        </is>
      </c>
    </row>
    <row r="6">
      <c r="A6" s="6" t="inlineStr">
        <is>
          <t>MODEL WIN PROBABILITY</t>
        </is>
      </c>
    </row>
    <row r="7">
      <c r="A7" s="18" t="inlineStr">
        <is>
          <t>Home Win Prob</t>
        </is>
      </c>
      <c r="B7" s="19">
        <f>TEXT('Model Engine'!B62,"0.0%")</f>
        <v/>
      </c>
      <c r="C7" s="18" t="inlineStr">
        <is>
          <t>Away Win Prob</t>
        </is>
      </c>
      <c r="D7" s="20">
        <f>TEXT('Model Engine'!B64,"0.0%")</f>
        <v/>
      </c>
    </row>
    <row r="8">
      <c r="A8" s="6" t="inlineStr">
        <is>
          <t>VEGAS IMPLIED PROBABILITY</t>
        </is>
      </c>
    </row>
    <row r="9">
      <c r="A9" s="21" t="inlineStr">
        <is>
          <t>Home Implied</t>
        </is>
      </c>
      <c r="B9" s="22">
        <f>TEXT('Model Engine'!B66,"0.0%")</f>
        <v/>
      </c>
      <c r="C9" s="21" t="inlineStr">
        <is>
          <t>Away Implied</t>
        </is>
      </c>
      <c r="D9" s="22">
        <f>TEXT('Model Engine'!B68,"0.0%")</f>
        <v/>
      </c>
    </row>
    <row r="10">
      <c r="A10" s="6" t="inlineStr">
        <is>
          <t>EDGE %</t>
        </is>
      </c>
    </row>
    <row r="11">
      <c r="A11" s="21" t="inlineStr">
        <is>
          <t>Home Edge</t>
        </is>
      </c>
      <c r="B11" s="23">
        <f>'Model Engine'!B70</f>
        <v/>
      </c>
      <c r="C11" s="21" t="inlineStr">
        <is>
          <t>Away Edge</t>
        </is>
      </c>
      <c r="D11" s="23">
        <f>'Model Engine'!B72</f>
        <v/>
      </c>
    </row>
    <row r="12" ht="8" customHeight="1"/>
    <row r="13">
      <c r="A13" s="24" t="inlineStr">
        <is>
          <t>RECOMMENDATION</t>
        </is>
      </c>
    </row>
    <row r="14" ht="30" customHeight="1">
      <c r="B14" s="25">
        <f>IF(AND('Model Engine'!B70&gt;0.05,'Model Engine'!B70&gt;'Model Engine'!B72),"BET HOME",IF(AND('Model Engine'!B72&gt;0.05,'Model Engine'!B72&gt;'Model Engine'!B70),"BET AWAY","NO VALUE"))</f>
        <v/>
      </c>
    </row>
    <row r="15">
      <c r="A15" s="26" t="inlineStr">
        <is>
          <t>Confidence Level:</t>
        </is>
      </c>
      <c r="B15" s="27">
        <f>'Model Engine'!B80</f>
        <v/>
      </c>
    </row>
    <row r="16">
      <c r="A16" s="26" t="inlineStr">
        <is>
          <t>Expected Total Runs:</t>
        </is>
      </c>
      <c r="B16" s="28">
        <f>'Model Engine'!B78</f>
        <v/>
      </c>
    </row>
    <row r="17" ht="8" customHeight="1"/>
    <row r="18">
      <c r="A18" s="6" t="inlineStr">
        <is>
          <t>PITCHER COMPARISON</t>
        </is>
      </c>
    </row>
    <row r="19">
      <c r="A19" s="29" t="inlineStr">
        <is>
          <t>Stat</t>
        </is>
      </c>
      <c r="B19" s="29" t="inlineStr">
        <is>
          <t>Home Pitcher</t>
        </is>
      </c>
      <c r="C19" s="29" t="inlineStr">
        <is>
          <t>Away Pitcher</t>
        </is>
      </c>
    </row>
    <row r="20">
      <c r="A20" s="30" t="inlineStr">
        <is>
          <t>ERA</t>
        </is>
      </c>
      <c r="B20" s="13">
        <f>'Game Input'!B8</f>
        <v/>
      </c>
      <c r="C20" s="13">
        <f>'Game Input'!C8</f>
        <v/>
      </c>
    </row>
    <row r="21">
      <c r="A21" s="30" t="inlineStr">
        <is>
          <t>FIP</t>
        </is>
      </c>
      <c r="B21" s="13">
        <f>'Game Input'!B9</f>
        <v/>
      </c>
      <c r="C21" s="13">
        <f>'Game Input'!C9</f>
        <v/>
      </c>
    </row>
    <row r="22">
      <c r="A22" s="30" t="inlineStr">
        <is>
          <t>xFIP</t>
        </is>
      </c>
      <c r="B22" s="13">
        <f>'Game Input'!B10</f>
        <v/>
      </c>
      <c r="C22" s="13">
        <f>'Game Input'!C10</f>
        <v/>
      </c>
    </row>
    <row r="23">
      <c r="A23" s="30" t="inlineStr">
        <is>
          <t>SIERA</t>
        </is>
      </c>
      <c r="B23" s="13">
        <f>'Game Input'!B11</f>
        <v/>
      </c>
      <c r="C23" s="13">
        <f>'Game Input'!C11</f>
        <v/>
      </c>
    </row>
    <row r="24">
      <c r="A24" s="30" t="inlineStr">
        <is>
          <t>K/9</t>
        </is>
      </c>
      <c r="B24" s="13">
        <f>'Game Input'!B12</f>
        <v/>
      </c>
      <c r="C24" s="13">
        <f>'Game Input'!C12</f>
        <v/>
      </c>
    </row>
    <row r="25">
      <c r="A25" s="30" t="inlineStr">
        <is>
          <t>BB/9</t>
        </is>
      </c>
      <c r="B25" s="13">
        <f>'Game Input'!B13</f>
        <v/>
      </c>
      <c r="C25" s="13">
        <f>'Game Input'!C13</f>
        <v/>
      </c>
    </row>
    <row r="26">
      <c r="A26" s="30" t="inlineStr">
        <is>
          <t>Recent Form ERA</t>
        </is>
      </c>
      <c r="B26" s="13">
        <f>'Game Input'!B17</f>
        <v/>
      </c>
      <c r="C26" s="13">
        <f>'Game Input'!C17</f>
        <v/>
      </c>
    </row>
    <row r="27" ht="8" customHeight="1"/>
    <row r="28">
      <c r="A28" s="6" t="inlineStr">
        <is>
          <t>CONTEXT SUMMARY</t>
        </is>
      </c>
    </row>
    <row r="29">
      <c r="A29" s="30" t="inlineStr">
        <is>
          <t>Park Factor</t>
        </is>
      </c>
      <c r="B29" s="31">
        <f>'Game Input'!B31</f>
        <v/>
      </c>
    </row>
    <row r="30">
      <c r="A30" s="30" t="inlineStr">
        <is>
          <t>Wind</t>
        </is>
      </c>
      <c r="B30" s="31">
        <f>IF('Game Input'!B33="","—",'Game Input'!B33&amp;" "&amp;'Game Input'!B32&amp;" mph")</f>
        <v/>
      </c>
    </row>
    <row r="31">
      <c r="A31" s="30" t="inlineStr">
        <is>
          <t>Temperature</t>
        </is>
      </c>
      <c r="B31" s="31">
        <f>'Game Input'!B34&amp;" °F"</f>
        <v/>
      </c>
    </row>
    <row r="32">
      <c r="A32" s="30" t="inlineStr">
        <is>
          <t>Home Rest</t>
        </is>
      </c>
      <c r="B32" s="31">
        <f>'Game Input'!B35&amp;" days"</f>
        <v/>
      </c>
    </row>
    <row r="33">
      <c r="A33" s="30" t="inlineStr">
        <is>
          <t>Away Rest</t>
        </is>
      </c>
      <c r="B33" s="31">
        <f>'Game Input'!C36&amp;" days"</f>
        <v/>
      </c>
    </row>
  </sheetData>
  <mergeCells count="8">
    <mergeCell ref="A1:G1"/>
    <mergeCell ref="A18:G18"/>
    <mergeCell ref="A8:G8"/>
    <mergeCell ref="A6:G6"/>
    <mergeCell ref="A28:G28"/>
    <mergeCell ref="B14:E14"/>
    <mergeCell ref="A10:G10"/>
    <mergeCell ref="A5:G5"/>
  </mergeCells>
  <conditionalFormatting sqref="B11">
    <cfRule type="expression" priority="1" dxfId="0">
      <formula>B11&gt;0.05</formula>
    </cfRule>
    <cfRule type="expression" priority="2" dxfId="1">
      <formula>AND(B11&gt;=0.02,B11&lt;=0.05)</formula>
    </cfRule>
    <cfRule type="expression" priority="3" dxfId="2">
      <formula>B11&lt;0.02</formula>
    </cfRule>
  </conditionalFormatting>
  <conditionalFormatting sqref="D11">
    <cfRule type="expression" priority="4" dxfId="0">
      <formula>D11&gt;0.05</formula>
    </cfRule>
    <cfRule type="expression" priority="5" dxfId="1">
      <formula>AND(D11&gt;=0.02,D11&lt;=0.05)</formula>
    </cfRule>
    <cfRule type="expression" priority="6" dxfId="2">
      <formula>D11&lt;0.02</formula>
    </cfRule>
  </conditionalFormatting>
  <conditionalFormatting sqref="B14">
    <cfRule type="expression" priority="7" dxfId="3">
      <formula>B14="BET HOME"</formula>
    </cfRule>
    <cfRule type="expression" priority="8" dxfId="4">
      <formula>B14="BET AWAY"</formula>
    </cfRule>
    <cfRule type="expression" priority="9" dxfId="5">
      <formula>B14="NO VALUE"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15" customWidth="1" min="5" max="5"/>
    <col width="10" customWidth="1" min="6" max="6"/>
    <col width="10" customWidth="1" min="7" max="7"/>
    <col width="15" customWidth="1" min="8" max="8"/>
    <col width="18" customWidth="1" min="9" max="9"/>
    <col width="10" customWidth="1" min="10" max="10"/>
  </cols>
  <sheetData>
    <row r="1" ht="30" customHeight="1">
      <c r="A1" s="1" t="inlineStr">
        <is>
          <t>BET TRACKER</t>
        </is>
      </c>
    </row>
    <row r="2" ht="8" customHeight="1"/>
    <row r="3">
      <c r="A3" s="6" t="inlineStr">
        <is>
          <t>SUMMARY STATS</t>
        </is>
      </c>
    </row>
    <row r="4">
      <c r="A4" s="26" t="inlineStr">
        <is>
          <t>Total Bets</t>
        </is>
      </c>
      <c r="B4" s="32">
        <f>COUNTA(A11:A1000)</f>
        <v/>
      </c>
    </row>
    <row r="5">
      <c r="A5" s="26" t="inlineStr">
        <is>
          <t>Win %</t>
        </is>
      </c>
      <c r="B5" s="33">
        <f>IFERROR(COUNTIF(G11:G1000,"W")/COUNTA(G11:G1000),0)</f>
        <v/>
      </c>
    </row>
    <row r="6">
      <c r="A6" s="26" t="inlineStr">
        <is>
          <t>Total P&amp;L</t>
        </is>
      </c>
      <c r="B6" s="34">
        <f>SUM(H11:H1000)</f>
        <v/>
      </c>
    </row>
    <row r="7">
      <c r="A7" s="26" t="inlineStr">
        <is>
          <t>ROI %</t>
        </is>
      </c>
      <c r="B7" s="33">
        <f>IFERROR(SUM(H11:H1000)/SUM(F11:F1000),0)</f>
        <v/>
      </c>
    </row>
    <row r="8">
      <c r="A8" s="26" t="inlineStr">
        <is>
          <t>Current Bankroll</t>
        </is>
      </c>
      <c r="B8" s="34">
        <f>1000+SUM(H11:H1000)</f>
        <v/>
      </c>
    </row>
    <row r="9" ht="8" customHeight="1"/>
    <row r="10" ht="20" customHeight="1">
      <c r="A10" s="9" t="inlineStr">
        <is>
          <t>Date</t>
        </is>
      </c>
      <c r="B10" s="9" t="inlineStr">
        <is>
          <t>Home Team</t>
        </is>
      </c>
      <c r="C10" s="9" t="inlineStr">
        <is>
          <t>Away Team</t>
        </is>
      </c>
      <c r="D10" s="9" t="inlineStr">
        <is>
          <t>Bet Side</t>
        </is>
      </c>
      <c r="E10" s="9" t="inlineStr">
        <is>
          <t>Moneyline Odds</t>
        </is>
      </c>
      <c r="F10" s="9" t="inlineStr">
        <is>
          <t>Stake ($)</t>
        </is>
      </c>
      <c r="G10" s="9" t="inlineStr">
        <is>
          <t>Result</t>
        </is>
      </c>
      <c r="H10" s="9" t="inlineStr">
        <is>
          <t>Profit/Loss</t>
        </is>
      </c>
      <c r="I10" s="9" t="inlineStr">
        <is>
          <t>Running Bankroll</t>
        </is>
      </c>
      <c r="J10" s="9" t="inlineStr">
        <is>
          <t>ROI %</t>
        </is>
      </c>
    </row>
    <row r="11">
      <c r="A11" s="35" t="inlineStr">
        <is>
          <t>5/1/2026</t>
        </is>
      </c>
      <c r="B11" s="12" t="inlineStr">
        <is>
          <t>New York Yankees</t>
        </is>
      </c>
      <c r="C11" s="12" t="inlineStr">
        <is>
          <t>Boston Red Sox</t>
        </is>
      </c>
      <c r="D11" s="13" t="inlineStr">
        <is>
          <t>HOME</t>
        </is>
      </c>
      <c r="E11" s="13" t="n">
        <v>-150</v>
      </c>
      <c r="F11" s="36" t="n">
        <v>100</v>
      </c>
      <c r="G11" s="37" t="inlineStr">
        <is>
          <t>W</t>
        </is>
      </c>
      <c r="H11" s="36">
        <f>IF(G11="W",IF(E11&lt;0,F11/ABS(E11)*100,F11*E11/100),IF(G11="L",-F11,""))</f>
        <v/>
      </c>
      <c r="I11" s="36">
        <f>1000+SUM(H$11:H11)</f>
        <v/>
      </c>
      <c r="J11" s="38">
        <f>IFERROR(SUM(H$11:H11)/SUM(F$11:F11),"")</f>
        <v/>
      </c>
    </row>
    <row r="12">
      <c r="A12" s="35" t="inlineStr">
        <is>
          <t>5/2/2026</t>
        </is>
      </c>
      <c r="B12" s="12" t="inlineStr">
        <is>
          <t>Los Angeles Dodgers</t>
        </is>
      </c>
      <c r="C12" s="12" t="inlineStr">
        <is>
          <t>San Diego Padres</t>
        </is>
      </c>
      <c r="D12" s="13" t="inlineStr">
        <is>
          <t>AWAY</t>
        </is>
      </c>
      <c r="E12" s="13" t="n">
        <v>130</v>
      </c>
      <c r="F12" s="36" t="n">
        <v>50</v>
      </c>
      <c r="G12" s="37" t="inlineStr">
        <is>
          <t>L</t>
        </is>
      </c>
      <c r="H12" s="36">
        <f>IF(G12="W",IF(E12&lt;0,F12/ABS(E12)*100,F12*E12/100),IF(G12="L",-F12,""))</f>
        <v/>
      </c>
      <c r="I12" s="36">
        <f>1000+SUM(H$11:H12)</f>
        <v/>
      </c>
      <c r="J12" s="38">
        <f>IFERROR(SUM(H$11:H12)/SUM(F$11:F12),"")</f>
        <v/>
      </c>
    </row>
    <row r="13">
      <c r="A13" s="35" t="inlineStr">
        <is>
          <t>5/3/2026</t>
        </is>
      </c>
      <c r="B13" s="12" t="inlineStr">
        <is>
          <t>Atlanta Braves</t>
        </is>
      </c>
      <c r="C13" s="12" t="inlineStr">
        <is>
          <t>Philadelphia Phillies</t>
        </is>
      </c>
      <c r="D13" s="13" t="inlineStr">
        <is>
          <t>HOME</t>
        </is>
      </c>
      <c r="E13" s="13" t="n">
        <v>-120</v>
      </c>
      <c r="F13" s="36" t="n">
        <v>75</v>
      </c>
      <c r="G13" s="37" t="inlineStr">
        <is>
          <t>W</t>
        </is>
      </c>
      <c r="H13" s="36">
        <f>IF(G13="W",IF(E13&lt;0,F13/ABS(E13)*100,F13*E13/100),IF(G13="L",-F13,""))</f>
        <v/>
      </c>
      <c r="I13" s="36">
        <f>1000+SUM(H$11:H13)</f>
        <v/>
      </c>
      <c r="J13" s="38">
        <f>IFERROR(SUM(H$11:H13)/SUM(F$11:F13),"")</f>
        <v/>
      </c>
    </row>
    <row r="14">
      <c r="H14" s="39">
        <f>IF(G14="W",IF(E14&lt;0,F14/ABS(E14)*100,F14*E14/100),IF(G14="L",-F14,""))</f>
        <v/>
      </c>
      <c r="I14" s="39">
        <f>IF(COUNTA(A$11:A14)=0,"",1000+SUM(H$11:H14))</f>
        <v/>
      </c>
      <c r="J14" s="40">
        <f>IFERROR(SUM(H$11:H14)/SUM(F$11:F14),"")</f>
        <v/>
      </c>
    </row>
    <row r="15">
      <c r="H15" s="39">
        <f>IF(G15="W",IF(E15&lt;0,F15/ABS(E15)*100,F15*E15/100),IF(G15="L",-F15,""))</f>
        <v/>
      </c>
      <c r="I15" s="39">
        <f>IF(COUNTA(A$11:A15)=0,"",1000+SUM(H$11:H15))</f>
        <v/>
      </c>
      <c r="J15" s="40">
        <f>IFERROR(SUM(H$11:H15)/SUM(F$11:F15),"")</f>
        <v/>
      </c>
    </row>
    <row r="16">
      <c r="H16" s="39">
        <f>IF(G16="W",IF(E16&lt;0,F16/ABS(E16)*100,F16*E16/100),IF(G16="L",-F16,""))</f>
        <v/>
      </c>
      <c r="I16" s="39">
        <f>IF(COUNTA(A$11:A16)=0,"",1000+SUM(H$11:H16))</f>
        <v/>
      </c>
      <c r="J16" s="40">
        <f>IFERROR(SUM(H$11:H16)/SUM(F$11:F16),"")</f>
        <v/>
      </c>
    </row>
    <row r="17">
      <c r="H17" s="39">
        <f>IF(G17="W",IF(E17&lt;0,F17/ABS(E17)*100,F17*E17/100),IF(G17="L",-F17,""))</f>
        <v/>
      </c>
      <c r="I17" s="39">
        <f>IF(COUNTA(A$11:A17)=0,"",1000+SUM(H$11:H17))</f>
        <v/>
      </c>
      <c r="J17" s="40">
        <f>IFERROR(SUM(H$11:H17)/SUM(F$11:F17),"")</f>
        <v/>
      </c>
    </row>
    <row r="18">
      <c r="H18" s="39">
        <f>IF(G18="W",IF(E18&lt;0,F18/ABS(E18)*100,F18*E18/100),IF(G18="L",-F18,""))</f>
        <v/>
      </c>
      <c r="I18" s="39">
        <f>IF(COUNTA(A$11:A18)=0,"",1000+SUM(H$11:H18))</f>
        <v/>
      </c>
      <c r="J18" s="40">
        <f>IFERROR(SUM(H$11:H18)/SUM(F$11:F18),"")</f>
        <v/>
      </c>
    </row>
    <row r="19">
      <c r="H19" s="39">
        <f>IF(G19="W",IF(E19&lt;0,F19/ABS(E19)*100,F19*E19/100),IF(G19="L",-F19,""))</f>
        <v/>
      </c>
      <c r="I19" s="39">
        <f>IF(COUNTA(A$11:A19)=0,"",1000+SUM(H$11:H19))</f>
        <v/>
      </c>
      <c r="J19" s="40">
        <f>IFERROR(SUM(H$11:H19)/SUM(F$11:F19),"")</f>
        <v/>
      </c>
    </row>
    <row r="20">
      <c r="H20" s="39">
        <f>IF(G20="W",IF(E20&lt;0,F20/ABS(E20)*100,F20*E20/100),IF(G20="L",-F20,""))</f>
        <v/>
      </c>
      <c r="I20" s="39">
        <f>IF(COUNTA(A$11:A20)=0,"",1000+SUM(H$11:H20))</f>
        <v/>
      </c>
      <c r="J20" s="40">
        <f>IFERROR(SUM(H$11:H20)/SUM(F$11:F20),"")</f>
        <v/>
      </c>
    </row>
    <row r="21">
      <c r="H21" s="39">
        <f>IF(G21="W",IF(E21&lt;0,F21/ABS(E21)*100,F21*E21/100),IF(G21="L",-F21,""))</f>
        <v/>
      </c>
      <c r="I21" s="39">
        <f>IF(COUNTA(A$11:A21)=0,"",1000+SUM(H$11:H21))</f>
        <v/>
      </c>
      <c r="J21" s="40">
        <f>IFERROR(SUM(H$11:H21)/SUM(F$11:F21),"")</f>
        <v/>
      </c>
    </row>
    <row r="22">
      <c r="H22" s="39">
        <f>IF(G22="W",IF(E22&lt;0,F22/ABS(E22)*100,F22*E22/100),IF(G22="L",-F22,""))</f>
        <v/>
      </c>
      <c r="I22" s="39">
        <f>IF(COUNTA(A$11:A22)=0,"",1000+SUM(H$11:H22))</f>
        <v/>
      </c>
      <c r="J22" s="40">
        <f>IFERROR(SUM(H$11:H22)/SUM(F$11:F22),"")</f>
        <v/>
      </c>
    </row>
    <row r="23">
      <c r="H23" s="39">
        <f>IF(G23="W",IF(E23&lt;0,F23/ABS(E23)*100,F23*E23/100),IF(G23="L",-F23,""))</f>
        <v/>
      </c>
      <c r="I23" s="39">
        <f>IF(COUNTA(A$11:A23)=0,"",1000+SUM(H$11:H23))</f>
        <v/>
      </c>
      <c r="J23" s="40">
        <f>IFERROR(SUM(H$11:H23)/SUM(F$11:F23),"")</f>
        <v/>
      </c>
    </row>
    <row r="24">
      <c r="H24" s="39">
        <f>IF(G24="W",IF(E24&lt;0,F24/ABS(E24)*100,F24*E24/100),IF(G24="L",-F24,""))</f>
        <v/>
      </c>
      <c r="I24" s="39">
        <f>IF(COUNTA(A$11:A24)=0,"",1000+SUM(H$11:H24))</f>
        <v/>
      </c>
      <c r="J24" s="40">
        <f>IFERROR(SUM(H$11:H24)/SUM(F$11:F24),"")</f>
        <v/>
      </c>
    </row>
    <row r="25">
      <c r="H25" s="39">
        <f>IF(G25="W",IF(E25&lt;0,F25/ABS(E25)*100,F25*E25/100),IF(G25="L",-F25,""))</f>
        <v/>
      </c>
      <c r="I25" s="39">
        <f>IF(COUNTA(A$11:A25)=0,"",1000+SUM(H$11:H25))</f>
        <v/>
      </c>
      <c r="J25" s="40">
        <f>IFERROR(SUM(H$11:H25)/SUM(F$11:F25),"")</f>
        <v/>
      </c>
    </row>
    <row r="26">
      <c r="H26" s="39">
        <f>IF(G26="W",IF(E26&lt;0,F26/ABS(E26)*100,F26*E26/100),IF(G26="L",-F26,""))</f>
        <v/>
      </c>
      <c r="I26" s="39">
        <f>IF(COUNTA(A$11:A26)=0,"",1000+SUM(H$11:H26))</f>
        <v/>
      </c>
      <c r="J26" s="40">
        <f>IFERROR(SUM(H$11:H26)/SUM(F$11:F26),"")</f>
        <v/>
      </c>
    </row>
    <row r="27">
      <c r="H27" s="39">
        <f>IF(G27="W",IF(E27&lt;0,F27/ABS(E27)*100,F27*E27/100),IF(G27="L",-F27,""))</f>
        <v/>
      </c>
      <c r="I27" s="39">
        <f>IF(COUNTA(A$11:A27)=0,"",1000+SUM(H$11:H27))</f>
        <v/>
      </c>
      <c r="J27" s="40">
        <f>IFERROR(SUM(H$11:H27)/SUM(F$11:F27),"")</f>
        <v/>
      </c>
    </row>
    <row r="28">
      <c r="H28" s="39">
        <f>IF(G28="W",IF(E28&lt;0,F28/ABS(E28)*100,F28*E28/100),IF(G28="L",-F28,""))</f>
        <v/>
      </c>
      <c r="I28" s="39">
        <f>IF(COUNTA(A$11:A28)=0,"",1000+SUM(H$11:H28))</f>
        <v/>
      </c>
      <c r="J28" s="40">
        <f>IFERROR(SUM(H$11:H28)/SUM(F$11:F28),"")</f>
        <v/>
      </c>
    </row>
    <row r="29">
      <c r="H29" s="39">
        <f>IF(G29="W",IF(E29&lt;0,F29/ABS(E29)*100,F29*E29/100),IF(G29="L",-F29,""))</f>
        <v/>
      </c>
      <c r="I29" s="39">
        <f>IF(COUNTA(A$11:A29)=0,"",1000+SUM(H$11:H29))</f>
        <v/>
      </c>
      <c r="J29" s="40">
        <f>IFERROR(SUM(H$11:H29)/SUM(F$11:F29),"")</f>
        <v/>
      </c>
    </row>
    <row r="30">
      <c r="H30" s="39">
        <f>IF(G30="W",IF(E30&lt;0,F30/ABS(E30)*100,F30*E30/100),IF(G30="L",-F30,""))</f>
        <v/>
      </c>
      <c r="I30" s="39">
        <f>IF(COUNTA(A$11:A30)=0,"",1000+SUM(H$11:H30))</f>
        <v/>
      </c>
      <c r="J30" s="40">
        <f>IFERROR(SUM(H$11:H30)/SUM(F$11:F30),"")</f>
        <v/>
      </c>
    </row>
    <row r="31">
      <c r="H31" s="39">
        <f>IF(G31="W",IF(E31&lt;0,F31/ABS(E31)*100,F31*E31/100),IF(G31="L",-F31,""))</f>
        <v/>
      </c>
      <c r="I31" s="39">
        <f>IF(COUNTA(A$11:A31)=0,"",1000+SUM(H$11:H31))</f>
        <v/>
      </c>
      <c r="J31" s="40">
        <f>IFERROR(SUM(H$11:H31)/SUM(F$11:F31),"")</f>
        <v/>
      </c>
    </row>
    <row r="32">
      <c r="H32" s="39">
        <f>IF(G32="W",IF(E32&lt;0,F32/ABS(E32)*100,F32*E32/100),IF(G32="L",-F32,""))</f>
        <v/>
      </c>
      <c r="I32" s="39">
        <f>IF(COUNTA(A$11:A32)=0,"",1000+SUM(H$11:H32))</f>
        <v/>
      </c>
      <c r="J32" s="40">
        <f>IFERROR(SUM(H$11:H32)/SUM(F$11:F32),"")</f>
        <v/>
      </c>
    </row>
    <row r="33">
      <c r="H33" s="39">
        <f>IF(G33="W",IF(E33&lt;0,F33/ABS(E33)*100,F33*E33/100),IF(G33="L",-F33,""))</f>
        <v/>
      </c>
      <c r="I33" s="39">
        <f>IF(COUNTA(A$11:A33)=0,"",1000+SUM(H$11:H33))</f>
        <v/>
      </c>
      <c r="J33" s="40">
        <f>IFERROR(SUM(H$11:H33)/SUM(F$11:F33),"")</f>
        <v/>
      </c>
    </row>
    <row r="34">
      <c r="H34" s="39">
        <f>IF(G34="W",IF(E34&lt;0,F34/ABS(E34)*100,F34*E34/100),IF(G34="L",-F34,""))</f>
        <v/>
      </c>
      <c r="I34" s="39">
        <f>IF(COUNTA(A$11:A34)=0,"",1000+SUM(H$11:H34))</f>
        <v/>
      </c>
      <c r="J34" s="40">
        <f>IFERROR(SUM(H$11:H34)/SUM(F$11:F34),"")</f>
        <v/>
      </c>
    </row>
    <row r="35">
      <c r="H35" s="39">
        <f>IF(G35="W",IF(E35&lt;0,F35/ABS(E35)*100,F35*E35/100),IF(G35="L",-F35,""))</f>
        <v/>
      </c>
      <c r="I35" s="39">
        <f>IF(COUNTA(A$11:A35)=0,"",1000+SUM(H$11:H35))</f>
        <v/>
      </c>
      <c r="J35" s="40">
        <f>IFERROR(SUM(H$11:H35)/SUM(F$11:F35),"")</f>
        <v/>
      </c>
    </row>
    <row r="36">
      <c r="H36" s="39">
        <f>IF(G36="W",IF(E36&lt;0,F36/ABS(E36)*100,F36*E36/100),IF(G36="L",-F36,""))</f>
        <v/>
      </c>
      <c r="I36" s="39">
        <f>IF(COUNTA(A$11:A36)=0,"",1000+SUM(H$11:H36))</f>
        <v/>
      </c>
      <c r="J36" s="40">
        <f>IFERROR(SUM(H$11:H36)/SUM(F$11:F36),"")</f>
        <v/>
      </c>
    </row>
    <row r="37">
      <c r="H37" s="39">
        <f>IF(G37="W",IF(E37&lt;0,F37/ABS(E37)*100,F37*E37/100),IF(G37="L",-F37,""))</f>
        <v/>
      </c>
      <c r="I37" s="39">
        <f>IF(COUNTA(A$11:A37)=0,"",1000+SUM(H$11:H37))</f>
        <v/>
      </c>
      <c r="J37" s="40">
        <f>IFERROR(SUM(H$11:H37)/SUM(F$11:F37),"")</f>
        <v/>
      </c>
    </row>
    <row r="38">
      <c r="H38" s="39">
        <f>IF(G38="W",IF(E38&lt;0,F38/ABS(E38)*100,F38*E38/100),IF(G38="L",-F38,""))</f>
        <v/>
      </c>
      <c r="I38" s="39">
        <f>IF(COUNTA(A$11:A38)=0,"",1000+SUM(H$11:H38))</f>
        <v/>
      </c>
      <c r="J38" s="40">
        <f>IFERROR(SUM(H$11:H38)/SUM(F$11:F38),"")</f>
        <v/>
      </c>
    </row>
    <row r="39">
      <c r="H39" s="39">
        <f>IF(G39="W",IF(E39&lt;0,F39/ABS(E39)*100,F39*E39/100),IF(G39="L",-F39,""))</f>
        <v/>
      </c>
      <c r="I39" s="39">
        <f>IF(COUNTA(A$11:A39)=0,"",1000+SUM(H$11:H39))</f>
        <v/>
      </c>
      <c r="J39" s="40">
        <f>IFERROR(SUM(H$11:H39)/SUM(F$11:F39),"")</f>
        <v/>
      </c>
    </row>
    <row r="40">
      <c r="H40" s="39">
        <f>IF(G40="W",IF(E40&lt;0,F40/ABS(E40)*100,F40*E40/100),IF(G40="L",-F40,""))</f>
        <v/>
      </c>
      <c r="I40" s="39">
        <f>IF(COUNTA(A$11:A40)=0,"",1000+SUM(H$11:H40))</f>
        <v/>
      </c>
      <c r="J40" s="40">
        <f>IFERROR(SUM(H$11:H40)/SUM(F$11:F40),"")</f>
        <v/>
      </c>
    </row>
    <row r="41">
      <c r="H41" s="39">
        <f>IF(G41="W",IF(E41&lt;0,F41/ABS(E41)*100,F41*E41/100),IF(G41="L",-F41,""))</f>
        <v/>
      </c>
      <c r="I41" s="39">
        <f>IF(COUNTA(A$11:A41)=0,"",1000+SUM(H$11:H41))</f>
        <v/>
      </c>
      <c r="J41" s="40">
        <f>IFERROR(SUM(H$11:H41)/SUM(F$11:F41),"")</f>
        <v/>
      </c>
    </row>
    <row r="42">
      <c r="H42" s="39">
        <f>IF(G42="W",IF(E42&lt;0,F42/ABS(E42)*100,F42*E42/100),IF(G42="L",-F42,""))</f>
        <v/>
      </c>
      <c r="I42" s="39">
        <f>IF(COUNTA(A$11:A42)=0,"",1000+SUM(H$11:H42))</f>
        <v/>
      </c>
      <c r="J42" s="40">
        <f>IFERROR(SUM(H$11:H42)/SUM(F$11:F42),"")</f>
        <v/>
      </c>
    </row>
    <row r="43">
      <c r="H43" s="39">
        <f>IF(G43="W",IF(E43&lt;0,F43/ABS(E43)*100,F43*E43/100),IF(G43="L",-F43,""))</f>
        <v/>
      </c>
      <c r="I43" s="39">
        <f>IF(COUNTA(A$11:A43)=0,"",1000+SUM(H$11:H43))</f>
        <v/>
      </c>
      <c r="J43" s="40">
        <f>IFERROR(SUM(H$11:H43)/SUM(F$11:F43),"")</f>
        <v/>
      </c>
    </row>
    <row r="44">
      <c r="H44" s="39">
        <f>IF(G44="W",IF(E44&lt;0,F44/ABS(E44)*100,F44*E44/100),IF(G44="L",-F44,""))</f>
        <v/>
      </c>
      <c r="I44" s="39">
        <f>IF(COUNTA(A$11:A44)=0,"",1000+SUM(H$11:H44))</f>
        <v/>
      </c>
      <c r="J44" s="40">
        <f>IFERROR(SUM(H$11:H44)/SUM(F$11:F44),"")</f>
        <v/>
      </c>
    </row>
    <row r="45">
      <c r="H45" s="39">
        <f>IF(G45="W",IF(E45&lt;0,F45/ABS(E45)*100,F45*E45/100),IF(G45="L",-F45,""))</f>
        <v/>
      </c>
      <c r="I45" s="39">
        <f>IF(COUNTA(A$11:A45)=0,"",1000+SUM(H$11:H45))</f>
        <v/>
      </c>
      <c r="J45" s="40">
        <f>IFERROR(SUM(H$11:H45)/SUM(F$11:F45),"")</f>
        <v/>
      </c>
    </row>
    <row r="46">
      <c r="H46" s="39">
        <f>IF(G46="W",IF(E46&lt;0,F46/ABS(E46)*100,F46*E46/100),IF(G46="L",-F46,""))</f>
        <v/>
      </c>
      <c r="I46" s="39">
        <f>IF(COUNTA(A$11:A46)=0,"",1000+SUM(H$11:H46))</f>
        <v/>
      </c>
      <c r="J46" s="40">
        <f>IFERROR(SUM(H$11:H46)/SUM(F$11:F46),"")</f>
        <v/>
      </c>
    </row>
    <row r="47">
      <c r="H47" s="39">
        <f>IF(G47="W",IF(E47&lt;0,F47/ABS(E47)*100,F47*E47/100),IF(G47="L",-F47,""))</f>
        <v/>
      </c>
      <c r="I47" s="39">
        <f>IF(COUNTA(A$11:A47)=0,"",1000+SUM(H$11:H47))</f>
        <v/>
      </c>
      <c r="J47" s="40">
        <f>IFERROR(SUM(H$11:H47)/SUM(F$11:F47),"")</f>
        <v/>
      </c>
    </row>
    <row r="48">
      <c r="H48" s="39">
        <f>IF(G48="W",IF(E48&lt;0,F48/ABS(E48)*100,F48*E48/100),IF(G48="L",-F48,""))</f>
        <v/>
      </c>
      <c r="I48" s="39">
        <f>IF(COUNTA(A$11:A48)=0,"",1000+SUM(H$11:H48))</f>
        <v/>
      </c>
      <c r="J48" s="40">
        <f>IFERROR(SUM(H$11:H48)/SUM(F$11:F48),"")</f>
        <v/>
      </c>
    </row>
    <row r="49">
      <c r="H49" s="39">
        <f>IF(G49="W",IF(E49&lt;0,F49/ABS(E49)*100,F49*E49/100),IF(G49="L",-F49,""))</f>
        <v/>
      </c>
      <c r="I49" s="39">
        <f>IF(COUNTA(A$11:A49)=0,"",1000+SUM(H$11:H49))</f>
        <v/>
      </c>
      <c r="J49" s="40">
        <f>IFERROR(SUM(H$11:H49)/SUM(F$11:F49),"")</f>
        <v/>
      </c>
    </row>
    <row r="50">
      <c r="H50" s="39">
        <f>IF(G50="W",IF(E50&lt;0,F50/ABS(E50)*100,F50*E50/100),IF(G50="L",-F50,""))</f>
        <v/>
      </c>
      <c r="I50" s="39">
        <f>IF(COUNTA(A$11:A50)=0,"",1000+SUM(H$11:H50))</f>
        <v/>
      </c>
      <c r="J50" s="40">
        <f>IFERROR(SUM(H$11:H50)/SUM(F$11:F50),"")</f>
        <v/>
      </c>
    </row>
    <row r="51">
      <c r="H51" s="39">
        <f>IF(G51="W",IF(E51&lt;0,F51/ABS(E51)*100,F51*E51/100),IF(G51="L",-F51,""))</f>
        <v/>
      </c>
      <c r="I51" s="39">
        <f>IF(COUNTA(A$11:A51)=0,"",1000+SUM(H$11:H51))</f>
        <v/>
      </c>
      <c r="J51" s="40">
        <f>IFERROR(SUM(H$11:H51)/SUM(F$11:F51),"")</f>
        <v/>
      </c>
    </row>
    <row r="52">
      <c r="H52" s="39">
        <f>IF(G52="W",IF(E52&lt;0,F52/ABS(E52)*100,F52*E52/100),IF(G52="L",-F52,""))</f>
        <v/>
      </c>
      <c r="I52" s="39">
        <f>IF(COUNTA(A$11:A52)=0,"",1000+SUM(H$11:H52))</f>
        <v/>
      </c>
      <c r="J52" s="40">
        <f>IFERROR(SUM(H$11:H52)/SUM(F$11:F52),"")</f>
        <v/>
      </c>
    </row>
    <row r="53">
      <c r="H53" s="39">
        <f>IF(G53="W",IF(E53&lt;0,F53/ABS(E53)*100,F53*E53/100),IF(G53="L",-F53,""))</f>
        <v/>
      </c>
      <c r="I53" s="39">
        <f>IF(COUNTA(A$11:A53)=0,"",1000+SUM(H$11:H53))</f>
        <v/>
      </c>
      <c r="J53" s="40">
        <f>IFERROR(SUM(H$11:H53)/SUM(F$11:F53),"")</f>
        <v/>
      </c>
    </row>
    <row r="54">
      <c r="H54" s="39">
        <f>IF(G54="W",IF(E54&lt;0,F54/ABS(E54)*100,F54*E54/100),IF(G54="L",-F54,""))</f>
        <v/>
      </c>
      <c r="I54" s="39">
        <f>IF(COUNTA(A$11:A54)=0,"",1000+SUM(H$11:H54))</f>
        <v/>
      </c>
      <c r="J54" s="40">
        <f>IFERROR(SUM(H$11:H54)/SUM(F$11:F54),"")</f>
        <v/>
      </c>
    </row>
    <row r="55">
      <c r="H55" s="39">
        <f>IF(G55="W",IF(E55&lt;0,F55/ABS(E55)*100,F55*E55/100),IF(G55="L",-F55,""))</f>
        <v/>
      </c>
      <c r="I55" s="39">
        <f>IF(COUNTA(A$11:A55)=0,"",1000+SUM(H$11:H55))</f>
        <v/>
      </c>
      <c r="J55" s="40">
        <f>IFERROR(SUM(H$11:H55)/SUM(F$11:F55),"")</f>
        <v/>
      </c>
    </row>
    <row r="56">
      <c r="H56" s="39">
        <f>IF(G56="W",IF(E56&lt;0,F56/ABS(E56)*100,F56*E56/100),IF(G56="L",-F56,""))</f>
        <v/>
      </c>
      <c r="I56" s="39">
        <f>IF(COUNTA(A$11:A56)=0,"",1000+SUM(H$11:H56))</f>
        <v/>
      </c>
      <c r="J56" s="40">
        <f>IFERROR(SUM(H$11:H56)/SUM(F$11:F56),"")</f>
        <v/>
      </c>
    </row>
    <row r="57">
      <c r="H57" s="39">
        <f>IF(G57="W",IF(E57&lt;0,F57/ABS(E57)*100,F57*E57/100),IF(G57="L",-F57,""))</f>
        <v/>
      </c>
      <c r="I57" s="39">
        <f>IF(COUNTA(A$11:A57)=0,"",1000+SUM(H$11:H57))</f>
        <v/>
      </c>
      <c r="J57" s="40">
        <f>IFERROR(SUM(H$11:H57)/SUM(F$11:F57),"")</f>
        <v/>
      </c>
    </row>
    <row r="58">
      <c r="H58" s="39">
        <f>IF(G58="W",IF(E58&lt;0,F58/ABS(E58)*100,F58*E58/100),IF(G58="L",-F58,""))</f>
        <v/>
      </c>
      <c r="I58" s="39">
        <f>IF(COUNTA(A$11:A58)=0,"",1000+SUM(H$11:H58))</f>
        <v/>
      </c>
      <c r="J58" s="40">
        <f>IFERROR(SUM(H$11:H58)/SUM(F$11:F58),"")</f>
        <v/>
      </c>
    </row>
    <row r="59">
      <c r="H59" s="39">
        <f>IF(G59="W",IF(E59&lt;0,F59/ABS(E59)*100,F59*E59/100),IF(G59="L",-F59,""))</f>
        <v/>
      </c>
      <c r="I59" s="39">
        <f>IF(COUNTA(A$11:A59)=0,"",1000+SUM(H$11:H59))</f>
        <v/>
      </c>
      <c r="J59" s="40">
        <f>IFERROR(SUM(H$11:H59)/SUM(F$11:F59),"")</f>
        <v/>
      </c>
    </row>
    <row r="60">
      <c r="H60" s="39">
        <f>IF(G60="W",IF(E60&lt;0,F60/ABS(E60)*100,F60*E60/100),IF(G60="L",-F60,""))</f>
        <v/>
      </c>
      <c r="I60" s="39">
        <f>IF(COUNTA(A$11:A60)=0,"",1000+SUM(H$11:H60))</f>
        <v/>
      </c>
      <c r="J60" s="40">
        <f>IFERROR(SUM(H$11:H60)/SUM(F$11:F60),"")</f>
        <v/>
      </c>
    </row>
    <row r="61">
      <c r="H61" s="39">
        <f>IF(G61="W",IF(E61&lt;0,F61/ABS(E61)*100,F61*E61/100),IF(G61="L",-F61,""))</f>
        <v/>
      </c>
      <c r="I61" s="39">
        <f>IF(COUNTA(A$11:A61)=0,"",1000+SUM(H$11:H61))</f>
        <v/>
      </c>
      <c r="J61" s="40">
        <f>IFERROR(SUM(H$11:H61)/SUM(F$11:F61),"")</f>
        <v/>
      </c>
    </row>
    <row r="62">
      <c r="H62" s="39">
        <f>IF(G62="W",IF(E62&lt;0,F62/ABS(E62)*100,F62*E62/100),IF(G62="L",-F62,""))</f>
        <v/>
      </c>
      <c r="I62" s="39">
        <f>IF(COUNTA(A$11:A62)=0,"",1000+SUM(H$11:H62))</f>
        <v/>
      </c>
      <c r="J62" s="40">
        <f>IFERROR(SUM(H$11:H62)/SUM(F$11:F62),"")</f>
        <v/>
      </c>
    </row>
    <row r="63">
      <c r="H63" s="39">
        <f>IF(G63="W",IF(E63&lt;0,F63/ABS(E63)*100,F63*E63/100),IF(G63="L",-F63,""))</f>
        <v/>
      </c>
      <c r="I63" s="39">
        <f>IF(COUNTA(A$11:A63)=0,"",1000+SUM(H$11:H63))</f>
        <v/>
      </c>
      <c r="J63" s="40">
        <f>IFERROR(SUM(H$11:H63)/SUM(F$11:F63),"")</f>
        <v/>
      </c>
    </row>
    <row r="64">
      <c r="H64" s="39">
        <f>IF(G64="W",IF(E64&lt;0,F64/ABS(E64)*100,F64*E64/100),IF(G64="L",-F64,""))</f>
        <v/>
      </c>
      <c r="I64" s="39">
        <f>IF(COUNTA(A$11:A64)=0,"",1000+SUM(H$11:H64))</f>
        <v/>
      </c>
      <c r="J64" s="40">
        <f>IFERROR(SUM(H$11:H64)/SUM(F$11:F64),"")</f>
        <v/>
      </c>
    </row>
    <row r="65">
      <c r="H65" s="39">
        <f>IF(G65="W",IF(E65&lt;0,F65/ABS(E65)*100,F65*E65/100),IF(G65="L",-F65,""))</f>
        <v/>
      </c>
      <c r="I65" s="39">
        <f>IF(COUNTA(A$11:A65)=0,"",1000+SUM(H$11:H65))</f>
        <v/>
      </c>
      <c r="J65" s="40">
        <f>IFERROR(SUM(H$11:H65)/SUM(F$11:F65),"")</f>
        <v/>
      </c>
    </row>
    <row r="66">
      <c r="H66" s="39">
        <f>IF(G66="W",IF(E66&lt;0,F66/ABS(E66)*100,F66*E66/100),IF(G66="L",-F66,""))</f>
        <v/>
      </c>
      <c r="I66" s="39">
        <f>IF(COUNTA(A$11:A66)=0,"",1000+SUM(H$11:H66))</f>
        <v/>
      </c>
      <c r="J66" s="40">
        <f>IFERROR(SUM(H$11:H66)/SUM(F$11:F66),"")</f>
        <v/>
      </c>
    </row>
    <row r="67">
      <c r="H67" s="39">
        <f>IF(G67="W",IF(E67&lt;0,F67/ABS(E67)*100,F67*E67/100),IF(G67="L",-F67,""))</f>
        <v/>
      </c>
      <c r="I67" s="39">
        <f>IF(COUNTA(A$11:A67)=0,"",1000+SUM(H$11:H67))</f>
        <v/>
      </c>
      <c r="J67" s="40">
        <f>IFERROR(SUM(H$11:H67)/SUM(F$11:F67),"")</f>
        <v/>
      </c>
    </row>
    <row r="68">
      <c r="H68" s="39">
        <f>IF(G68="W",IF(E68&lt;0,F68/ABS(E68)*100,F68*E68/100),IF(G68="L",-F68,""))</f>
        <v/>
      </c>
      <c r="I68" s="39">
        <f>IF(COUNTA(A$11:A68)=0,"",1000+SUM(H$11:H68))</f>
        <v/>
      </c>
      <c r="J68" s="40">
        <f>IFERROR(SUM(H$11:H68)/SUM(F$11:F68),"")</f>
        <v/>
      </c>
    </row>
    <row r="69">
      <c r="H69" s="39">
        <f>IF(G69="W",IF(E69&lt;0,F69/ABS(E69)*100,F69*E69/100),IF(G69="L",-F69,""))</f>
        <v/>
      </c>
      <c r="I69" s="39">
        <f>IF(COUNTA(A$11:A69)=0,"",1000+SUM(H$11:H69))</f>
        <v/>
      </c>
      <c r="J69" s="40">
        <f>IFERROR(SUM(H$11:H69)/SUM(F$11:F69),"")</f>
        <v/>
      </c>
    </row>
    <row r="70">
      <c r="H70" s="39">
        <f>IF(G70="W",IF(E70&lt;0,F70/ABS(E70)*100,F70*E70/100),IF(G70="L",-F70,""))</f>
        <v/>
      </c>
      <c r="I70" s="39">
        <f>IF(COUNTA(A$11:A70)=0,"",1000+SUM(H$11:H70))</f>
        <v/>
      </c>
      <c r="J70" s="40">
        <f>IFERROR(SUM(H$11:H70)/SUM(F$11:F70),"")</f>
        <v/>
      </c>
    </row>
    <row r="71">
      <c r="H71" s="39">
        <f>IF(G71="W",IF(E71&lt;0,F71/ABS(E71)*100,F71*E71/100),IF(G71="L",-F71,""))</f>
        <v/>
      </c>
      <c r="I71" s="39">
        <f>IF(COUNTA(A$11:A71)=0,"",1000+SUM(H$11:H71))</f>
        <v/>
      </c>
      <c r="J71" s="40">
        <f>IFERROR(SUM(H$11:H71)/SUM(F$11:F71),"")</f>
        <v/>
      </c>
    </row>
    <row r="72">
      <c r="H72" s="39">
        <f>IF(G72="W",IF(E72&lt;0,F72/ABS(E72)*100,F72*E72/100),IF(G72="L",-F72,""))</f>
        <v/>
      </c>
      <c r="I72" s="39">
        <f>IF(COUNTA(A$11:A72)=0,"",1000+SUM(H$11:H72))</f>
        <v/>
      </c>
      <c r="J72" s="40">
        <f>IFERROR(SUM(H$11:H72)/SUM(F$11:F72),"")</f>
        <v/>
      </c>
    </row>
    <row r="73">
      <c r="H73" s="39">
        <f>IF(G73="W",IF(E73&lt;0,F73/ABS(E73)*100,F73*E73/100),IF(G73="L",-F73,""))</f>
        <v/>
      </c>
      <c r="I73" s="39">
        <f>IF(COUNTA(A$11:A73)=0,"",1000+SUM(H$11:H73))</f>
        <v/>
      </c>
      <c r="J73" s="40">
        <f>IFERROR(SUM(H$11:H73)/SUM(F$11:F73),"")</f>
        <v/>
      </c>
    </row>
    <row r="74">
      <c r="H74" s="39">
        <f>IF(G74="W",IF(E74&lt;0,F74/ABS(E74)*100,F74*E74/100),IF(G74="L",-F74,""))</f>
        <v/>
      </c>
      <c r="I74" s="39">
        <f>IF(COUNTA(A$11:A74)=0,"",1000+SUM(H$11:H74))</f>
        <v/>
      </c>
      <c r="J74" s="40">
        <f>IFERROR(SUM(H$11:H74)/SUM(F$11:F74),"")</f>
        <v/>
      </c>
    </row>
    <row r="75">
      <c r="H75" s="39">
        <f>IF(G75="W",IF(E75&lt;0,F75/ABS(E75)*100,F75*E75/100),IF(G75="L",-F75,""))</f>
        <v/>
      </c>
      <c r="I75" s="39">
        <f>IF(COUNTA(A$11:A75)=0,"",1000+SUM(H$11:H75))</f>
        <v/>
      </c>
      <c r="J75" s="40">
        <f>IFERROR(SUM(H$11:H75)/SUM(F$11:F75),"")</f>
        <v/>
      </c>
    </row>
    <row r="76">
      <c r="H76" s="39">
        <f>IF(G76="W",IF(E76&lt;0,F76/ABS(E76)*100,F76*E76/100),IF(G76="L",-F76,""))</f>
        <v/>
      </c>
      <c r="I76" s="39">
        <f>IF(COUNTA(A$11:A76)=0,"",1000+SUM(H$11:H76))</f>
        <v/>
      </c>
      <c r="J76" s="40">
        <f>IFERROR(SUM(H$11:H76)/SUM(F$11:F76),"")</f>
        <v/>
      </c>
    </row>
    <row r="77">
      <c r="H77" s="39">
        <f>IF(G77="W",IF(E77&lt;0,F77/ABS(E77)*100,F77*E77/100),IF(G77="L",-F77,""))</f>
        <v/>
      </c>
      <c r="I77" s="39">
        <f>IF(COUNTA(A$11:A77)=0,"",1000+SUM(H$11:H77))</f>
        <v/>
      </c>
      <c r="J77" s="40">
        <f>IFERROR(SUM(H$11:H77)/SUM(F$11:F77),"")</f>
        <v/>
      </c>
    </row>
    <row r="78">
      <c r="H78" s="39">
        <f>IF(G78="W",IF(E78&lt;0,F78/ABS(E78)*100,F78*E78/100),IF(G78="L",-F78,""))</f>
        <v/>
      </c>
      <c r="I78" s="39">
        <f>IF(COUNTA(A$11:A78)=0,"",1000+SUM(H$11:H78))</f>
        <v/>
      </c>
      <c r="J78" s="40">
        <f>IFERROR(SUM(H$11:H78)/SUM(F$11:F78),"")</f>
        <v/>
      </c>
    </row>
    <row r="79">
      <c r="H79" s="39">
        <f>IF(G79="W",IF(E79&lt;0,F79/ABS(E79)*100,F79*E79/100),IF(G79="L",-F79,""))</f>
        <v/>
      </c>
      <c r="I79" s="39">
        <f>IF(COUNTA(A$11:A79)=0,"",1000+SUM(H$11:H79))</f>
        <v/>
      </c>
      <c r="J79" s="40">
        <f>IFERROR(SUM(H$11:H79)/SUM(F$11:F79),"")</f>
        <v/>
      </c>
    </row>
    <row r="80">
      <c r="H80" s="39">
        <f>IF(G80="W",IF(E80&lt;0,F80/ABS(E80)*100,F80*E80/100),IF(G80="L",-F80,""))</f>
        <v/>
      </c>
      <c r="I80" s="39">
        <f>IF(COUNTA(A$11:A80)=0,"",1000+SUM(H$11:H80))</f>
        <v/>
      </c>
      <c r="J80" s="40">
        <f>IFERROR(SUM(H$11:H80)/SUM(F$11:F80),"")</f>
        <v/>
      </c>
    </row>
    <row r="81">
      <c r="H81" s="39">
        <f>IF(G81="W",IF(E81&lt;0,F81/ABS(E81)*100,F81*E81/100),IF(G81="L",-F81,""))</f>
        <v/>
      </c>
      <c r="I81" s="39">
        <f>IF(COUNTA(A$11:A81)=0,"",1000+SUM(H$11:H81))</f>
        <v/>
      </c>
      <c r="J81" s="40">
        <f>IFERROR(SUM(H$11:H81)/SUM(F$11:F81),"")</f>
        <v/>
      </c>
    </row>
    <row r="82">
      <c r="H82" s="39">
        <f>IF(G82="W",IF(E82&lt;0,F82/ABS(E82)*100,F82*E82/100),IF(G82="L",-F82,""))</f>
        <v/>
      </c>
      <c r="I82" s="39">
        <f>IF(COUNTA(A$11:A82)=0,"",1000+SUM(H$11:H82))</f>
        <v/>
      </c>
      <c r="J82" s="40">
        <f>IFERROR(SUM(H$11:H82)/SUM(F$11:F82),"")</f>
        <v/>
      </c>
    </row>
    <row r="83">
      <c r="H83" s="39">
        <f>IF(G83="W",IF(E83&lt;0,F83/ABS(E83)*100,F83*E83/100),IF(G83="L",-F83,""))</f>
        <v/>
      </c>
      <c r="I83" s="39">
        <f>IF(COUNTA(A$11:A83)=0,"",1000+SUM(H$11:H83))</f>
        <v/>
      </c>
      <c r="J83" s="40">
        <f>IFERROR(SUM(H$11:H83)/SUM(F$11:F83),"")</f>
        <v/>
      </c>
    </row>
    <row r="84">
      <c r="H84" s="39">
        <f>IF(G84="W",IF(E84&lt;0,F84/ABS(E84)*100,F84*E84/100),IF(G84="L",-F84,""))</f>
        <v/>
      </c>
      <c r="I84" s="39">
        <f>IF(COUNTA(A$11:A84)=0,"",1000+SUM(H$11:H84))</f>
        <v/>
      </c>
      <c r="J84" s="40">
        <f>IFERROR(SUM(H$11:H84)/SUM(F$11:F84),"")</f>
        <v/>
      </c>
    </row>
    <row r="85">
      <c r="H85" s="39">
        <f>IF(G85="W",IF(E85&lt;0,F85/ABS(E85)*100,F85*E85/100),IF(G85="L",-F85,""))</f>
        <v/>
      </c>
      <c r="I85" s="39">
        <f>IF(COUNTA(A$11:A85)=0,"",1000+SUM(H$11:H85))</f>
        <v/>
      </c>
      <c r="J85" s="40">
        <f>IFERROR(SUM(H$11:H85)/SUM(F$11:F85),"")</f>
        <v/>
      </c>
    </row>
    <row r="86">
      <c r="H86" s="39">
        <f>IF(G86="W",IF(E86&lt;0,F86/ABS(E86)*100,F86*E86/100),IF(G86="L",-F86,""))</f>
        <v/>
      </c>
      <c r="I86" s="39">
        <f>IF(COUNTA(A$11:A86)=0,"",1000+SUM(H$11:H86))</f>
        <v/>
      </c>
      <c r="J86" s="40">
        <f>IFERROR(SUM(H$11:H86)/SUM(F$11:F86),"")</f>
        <v/>
      </c>
    </row>
    <row r="87">
      <c r="H87" s="39">
        <f>IF(G87="W",IF(E87&lt;0,F87/ABS(E87)*100,F87*E87/100),IF(G87="L",-F87,""))</f>
        <v/>
      </c>
      <c r="I87" s="39">
        <f>IF(COUNTA(A$11:A87)=0,"",1000+SUM(H$11:H87))</f>
        <v/>
      </c>
      <c r="J87" s="40">
        <f>IFERROR(SUM(H$11:H87)/SUM(F$11:F87),"")</f>
        <v/>
      </c>
    </row>
    <row r="88">
      <c r="H88" s="39">
        <f>IF(G88="W",IF(E88&lt;0,F88/ABS(E88)*100,F88*E88/100),IF(G88="L",-F88,""))</f>
        <v/>
      </c>
      <c r="I88" s="39">
        <f>IF(COUNTA(A$11:A88)=0,"",1000+SUM(H$11:H88))</f>
        <v/>
      </c>
      <c r="J88" s="40">
        <f>IFERROR(SUM(H$11:H88)/SUM(F$11:F88),"")</f>
        <v/>
      </c>
    </row>
    <row r="89">
      <c r="H89" s="39">
        <f>IF(G89="W",IF(E89&lt;0,F89/ABS(E89)*100,F89*E89/100),IF(G89="L",-F89,""))</f>
        <v/>
      </c>
      <c r="I89" s="39">
        <f>IF(COUNTA(A$11:A89)=0,"",1000+SUM(H$11:H89))</f>
        <v/>
      </c>
      <c r="J89" s="40">
        <f>IFERROR(SUM(H$11:H89)/SUM(F$11:F89),"")</f>
        <v/>
      </c>
    </row>
    <row r="90">
      <c r="H90" s="39">
        <f>IF(G90="W",IF(E90&lt;0,F90/ABS(E90)*100,F90*E90/100),IF(G90="L",-F90,""))</f>
        <v/>
      </c>
      <c r="I90" s="39">
        <f>IF(COUNTA(A$11:A90)=0,"",1000+SUM(H$11:H90))</f>
        <v/>
      </c>
      <c r="J90" s="40">
        <f>IFERROR(SUM(H$11:H90)/SUM(F$11:F90),"")</f>
        <v/>
      </c>
    </row>
    <row r="91">
      <c r="H91" s="39">
        <f>IF(G91="W",IF(E91&lt;0,F91/ABS(E91)*100,F91*E91/100),IF(G91="L",-F91,""))</f>
        <v/>
      </c>
      <c r="I91" s="39">
        <f>IF(COUNTA(A$11:A91)=0,"",1000+SUM(H$11:H91))</f>
        <v/>
      </c>
      <c r="J91" s="40">
        <f>IFERROR(SUM(H$11:H91)/SUM(F$11:F91),"")</f>
        <v/>
      </c>
    </row>
    <row r="92">
      <c r="H92" s="39">
        <f>IF(G92="W",IF(E92&lt;0,F92/ABS(E92)*100,F92*E92/100),IF(G92="L",-F92,""))</f>
        <v/>
      </c>
      <c r="I92" s="39">
        <f>IF(COUNTA(A$11:A92)=0,"",1000+SUM(H$11:H92))</f>
        <v/>
      </c>
      <c r="J92" s="40">
        <f>IFERROR(SUM(H$11:H92)/SUM(F$11:F92),"")</f>
        <v/>
      </c>
    </row>
    <row r="93">
      <c r="H93" s="39">
        <f>IF(G93="W",IF(E93&lt;0,F93/ABS(E93)*100,F93*E93/100),IF(G93="L",-F93,""))</f>
        <v/>
      </c>
      <c r="I93" s="39">
        <f>IF(COUNTA(A$11:A93)=0,"",1000+SUM(H$11:H93))</f>
        <v/>
      </c>
      <c r="J93" s="40">
        <f>IFERROR(SUM(H$11:H93)/SUM(F$11:F93),"")</f>
        <v/>
      </c>
    </row>
    <row r="94">
      <c r="H94" s="39">
        <f>IF(G94="W",IF(E94&lt;0,F94/ABS(E94)*100,F94*E94/100),IF(G94="L",-F94,""))</f>
        <v/>
      </c>
      <c r="I94" s="39">
        <f>IF(COUNTA(A$11:A94)=0,"",1000+SUM(H$11:H94))</f>
        <v/>
      </c>
      <c r="J94" s="40">
        <f>IFERROR(SUM(H$11:H94)/SUM(F$11:F94),"")</f>
        <v/>
      </c>
    </row>
    <row r="95">
      <c r="H95" s="39">
        <f>IF(G95="W",IF(E95&lt;0,F95/ABS(E95)*100,F95*E95/100),IF(G95="L",-F95,""))</f>
        <v/>
      </c>
      <c r="I95" s="39">
        <f>IF(COUNTA(A$11:A95)=0,"",1000+SUM(H$11:H95))</f>
        <v/>
      </c>
      <c r="J95" s="40">
        <f>IFERROR(SUM(H$11:H95)/SUM(F$11:F95),"")</f>
        <v/>
      </c>
    </row>
    <row r="96">
      <c r="H96" s="39">
        <f>IF(G96="W",IF(E96&lt;0,F96/ABS(E96)*100,F96*E96/100),IF(G96="L",-F96,""))</f>
        <v/>
      </c>
      <c r="I96" s="39">
        <f>IF(COUNTA(A$11:A96)=0,"",1000+SUM(H$11:H96))</f>
        <v/>
      </c>
      <c r="J96" s="40">
        <f>IFERROR(SUM(H$11:H96)/SUM(F$11:F96),"")</f>
        <v/>
      </c>
    </row>
    <row r="97">
      <c r="H97" s="39">
        <f>IF(G97="W",IF(E97&lt;0,F97/ABS(E97)*100,F97*E97/100),IF(G97="L",-F97,""))</f>
        <v/>
      </c>
      <c r="I97" s="39">
        <f>IF(COUNTA(A$11:A97)=0,"",1000+SUM(H$11:H97))</f>
        <v/>
      </c>
      <c r="J97" s="40">
        <f>IFERROR(SUM(H$11:H97)/SUM(F$11:F97),"")</f>
        <v/>
      </c>
    </row>
    <row r="98">
      <c r="H98" s="39">
        <f>IF(G98="W",IF(E98&lt;0,F98/ABS(E98)*100,F98*E98/100),IF(G98="L",-F98,""))</f>
        <v/>
      </c>
      <c r="I98" s="39">
        <f>IF(COUNTA(A$11:A98)=0,"",1000+SUM(H$11:H98))</f>
        <v/>
      </c>
      <c r="J98" s="40">
        <f>IFERROR(SUM(H$11:H98)/SUM(F$11:F98),"")</f>
        <v/>
      </c>
    </row>
    <row r="99">
      <c r="H99" s="39">
        <f>IF(G99="W",IF(E99&lt;0,F99/ABS(E99)*100,F99*E99/100),IF(G99="L",-F99,""))</f>
        <v/>
      </c>
      <c r="I99" s="39">
        <f>IF(COUNTA(A$11:A99)=0,"",1000+SUM(H$11:H99))</f>
        <v/>
      </c>
      <c r="J99" s="40">
        <f>IFERROR(SUM(H$11:H99)/SUM(F$11:F99),"")</f>
        <v/>
      </c>
    </row>
    <row r="100">
      <c r="H100" s="39">
        <f>IF(G100="W",IF(E100&lt;0,F100/ABS(E100)*100,F100*E100/100),IF(G100="L",-F100,""))</f>
        <v/>
      </c>
      <c r="I100" s="39">
        <f>IF(COUNTA(A$11:A100)=0,"",1000+SUM(H$11:H100))</f>
        <v/>
      </c>
      <c r="J100" s="40">
        <f>IFERROR(SUM(H$11:H100)/SUM(F$11:F100),"")</f>
        <v/>
      </c>
    </row>
    <row r="101">
      <c r="H101" s="39">
        <f>IF(G101="W",IF(E101&lt;0,F101/ABS(E101)*100,F101*E101/100),IF(G101="L",-F101,""))</f>
        <v/>
      </c>
      <c r="I101" s="39">
        <f>IF(COUNTA(A$11:A101)=0,"",1000+SUM(H$11:H101))</f>
        <v/>
      </c>
      <c r="J101" s="40">
        <f>IFERROR(SUM(H$11:H101)/SUM(F$11:F101),"")</f>
        <v/>
      </c>
    </row>
    <row r="102">
      <c r="H102" s="39">
        <f>IF(G102="W",IF(E102&lt;0,F102/ABS(E102)*100,F102*E102/100),IF(G102="L",-F102,""))</f>
        <v/>
      </c>
      <c r="I102" s="39">
        <f>IF(COUNTA(A$11:A102)=0,"",1000+SUM(H$11:H102))</f>
        <v/>
      </c>
      <c r="J102" s="40">
        <f>IFERROR(SUM(H$11:H102)/SUM(F$11:F102),"")</f>
        <v/>
      </c>
    </row>
    <row r="103">
      <c r="H103" s="39">
        <f>IF(G103="W",IF(E103&lt;0,F103/ABS(E103)*100,F103*E103/100),IF(G103="L",-F103,""))</f>
        <v/>
      </c>
      <c r="I103" s="39">
        <f>IF(COUNTA(A$11:A103)=0,"",1000+SUM(H$11:H103))</f>
        <v/>
      </c>
      <c r="J103" s="40">
        <f>IFERROR(SUM(H$11:H103)/SUM(F$11:F103),"")</f>
        <v/>
      </c>
    </row>
    <row r="104">
      <c r="H104" s="39">
        <f>IF(G104="W",IF(E104&lt;0,F104/ABS(E104)*100,F104*E104/100),IF(G104="L",-F104,""))</f>
        <v/>
      </c>
      <c r="I104" s="39">
        <f>IF(COUNTA(A$11:A104)=0,"",1000+SUM(H$11:H104))</f>
        <v/>
      </c>
      <c r="J104" s="40">
        <f>IFERROR(SUM(H$11:H104)/SUM(F$11:F104),"")</f>
        <v/>
      </c>
    </row>
    <row r="105">
      <c r="H105" s="39">
        <f>IF(G105="W",IF(E105&lt;0,F105/ABS(E105)*100,F105*E105/100),IF(G105="L",-F105,""))</f>
        <v/>
      </c>
      <c r="I105" s="39">
        <f>IF(COUNTA(A$11:A105)=0,"",1000+SUM(H$11:H105))</f>
        <v/>
      </c>
      <c r="J105" s="40">
        <f>IFERROR(SUM(H$11:H105)/SUM(F$11:F105),"")</f>
        <v/>
      </c>
    </row>
    <row r="106">
      <c r="H106" s="39">
        <f>IF(G106="W",IF(E106&lt;0,F106/ABS(E106)*100,F106*E106/100),IF(G106="L",-F106,""))</f>
        <v/>
      </c>
      <c r="I106" s="39">
        <f>IF(COUNTA(A$11:A106)=0,"",1000+SUM(H$11:H106))</f>
        <v/>
      </c>
      <c r="J106" s="40">
        <f>IFERROR(SUM(H$11:H106)/SUM(F$11:F106),"")</f>
        <v/>
      </c>
    </row>
    <row r="107">
      <c r="H107" s="39">
        <f>IF(G107="W",IF(E107&lt;0,F107/ABS(E107)*100,F107*E107/100),IF(G107="L",-F107,""))</f>
        <v/>
      </c>
      <c r="I107" s="39">
        <f>IF(COUNTA(A$11:A107)=0,"",1000+SUM(H$11:H107))</f>
        <v/>
      </c>
      <c r="J107" s="40">
        <f>IFERROR(SUM(H$11:H107)/SUM(F$11:F107),"")</f>
        <v/>
      </c>
    </row>
    <row r="108">
      <c r="H108" s="39">
        <f>IF(G108="W",IF(E108&lt;0,F108/ABS(E108)*100,F108*E108/100),IF(G108="L",-F108,""))</f>
        <v/>
      </c>
      <c r="I108" s="39">
        <f>IF(COUNTA(A$11:A108)=0,"",1000+SUM(H$11:H108))</f>
        <v/>
      </c>
      <c r="J108" s="40">
        <f>IFERROR(SUM(H$11:H108)/SUM(F$11:F108),"")</f>
        <v/>
      </c>
    </row>
    <row r="109">
      <c r="H109" s="39">
        <f>IF(G109="W",IF(E109&lt;0,F109/ABS(E109)*100,F109*E109/100),IF(G109="L",-F109,""))</f>
        <v/>
      </c>
      <c r="I109" s="39">
        <f>IF(COUNTA(A$11:A109)=0,"",1000+SUM(H$11:H109))</f>
        <v/>
      </c>
      <c r="J109" s="40">
        <f>IFERROR(SUM(H$11:H109)/SUM(F$11:F109),"")</f>
        <v/>
      </c>
    </row>
    <row r="110">
      <c r="H110" s="39">
        <f>IF(G110="W",IF(E110&lt;0,F110/ABS(E110)*100,F110*E110/100),IF(G110="L",-F110,""))</f>
        <v/>
      </c>
      <c r="I110" s="39">
        <f>IF(COUNTA(A$11:A110)=0,"",1000+SUM(H$11:H110))</f>
        <v/>
      </c>
      <c r="J110" s="40">
        <f>IFERROR(SUM(H$11:H110)/SUM(F$11:F110),"")</f>
        <v/>
      </c>
    </row>
    <row r="111">
      <c r="H111" s="39">
        <f>IF(G111="W",IF(E111&lt;0,F111/ABS(E111)*100,F111*E111/100),IF(G111="L",-F111,""))</f>
        <v/>
      </c>
      <c r="I111" s="39">
        <f>IF(COUNTA(A$11:A111)=0,"",1000+SUM(H$11:H111))</f>
        <v/>
      </c>
      <c r="J111" s="40">
        <f>IFERROR(SUM(H$11:H111)/SUM(F$11:F111),"")</f>
        <v/>
      </c>
    </row>
    <row r="112">
      <c r="H112" s="39">
        <f>IF(G112="W",IF(E112&lt;0,F112/ABS(E112)*100,F112*E112/100),IF(G112="L",-F112,""))</f>
        <v/>
      </c>
      <c r="I112" s="39">
        <f>IF(COUNTA(A$11:A112)=0,"",1000+SUM(H$11:H112))</f>
        <v/>
      </c>
      <c r="J112" s="40">
        <f>IFERROR(SUM(H$11:H112)/SUM(F$11:F112),"")</f>
        <v/>
      </c>
    </row>
    <row r="113">
      <c r="H113" s="39">
        <f>IF(G113="W",IF(E113&lt;0,F113/ABS(E113)*100,F113*E113/100),IF(G113="L",-F113,""))</f>
        <v/>
      </c>
      <c r="I113" s="39">
        <f>IF(COUNTA(A$11:A113)=0,"",1000+SUM(H$11:H113))</f>
        <v/>
      </c>
      <c r="J113" s="40">
        <f>IFERROR(SUM(H$11:H113)/SUM(F$11:F113),"")</f>
        <v/>
      </c>
    </row>
    <row r="114">
      <c r="H114" s="39">
        <f>IF(G114="W",IF(E114&lt;0,F114/ABS(E114)*100,F114*E114/100),IF(G114="L",-F114,""))</f>
        <v/>
      </c>
      <c r="I114" s="39">
        <f>IF(COUNTA(A$11:A114)=0,"",1000+SUM(H$11:H114))</f>
        <v/>
      </c>
      <c r="J114" s="40">
        <f>IFERROR(SUM(H$11:H114)/SUM(F$11:F114),"")</f>
        <v/>
      </c>
    </row>
    <row r="115">
      <c r="H115" s="39">
        <f>IF(G115="W",IF(E115&lt;0,F115/ABS(E115)*100,F115*E115/100),IF(G115="L",-F115,""))</f>
        <v/>
      </c>
      <c r="I115" s="39">
        <f>IF(COUNTA(A$11:A115)=0,"",1000+SUM(H$11:H115))</f>
        <v/>
      </c>
      <c r="J115" s="40">
        <f>IFERROR(SUM(H$11:H115)/SUM(F$11:F115),"")</f>
        <v/>
      </c>
    </row>
    <row r="116">
      <c r="H116" s="39">
        <f>IF(G116="W",IF(E116&lt;0,F116/ABS(E116)*100,F116*E116/100),IF(G116="L",-F116,""))</f>
        <v/>
      </c>
      <c r="I116" s="39">
        <f>IF(COUNTA(A$11:A116)=0,"",1000+SUM(H$11:H116))</f>
        <v/>
      </c>
      <c r="J116" s="40">
        <f>IFERROR(SUM(H$11:H116)/SUM(F$11:F116),"")</f>
        <v/>
      </c>
    </row>
    <row r="117">
      <c r="H117" s="39">
        <f>IF(G117="W",IF(E117&lt;0,F117/ABS(E117)*100,F117*E117/100),IF(G117="L",-F117,""))</f>
        <v/>
      </c>
      <c r="I117" s="39">
        <f>IF(COUNTA(A$11:A117)=0,"",1000+SUM(H$11:H117))</f>
        <v/>
      </c>
      <c r="J117" s="40">
        <f>IFERROR(SUM(H$11:H117)/SUM(F$11:F117),"")</f>
        <v/>
      </c>
    </row>
    <row r="118">
      <c r="H118" s="39">
        <f>IF(G118="W",IF(E118&lt;0,F118/ABS(E118)*100,F118*E118/100),IF(G118="L",-F118,""))</f>
        <v/>
      </c>
      <c r="I118" s="39">
        <f>IF(COUNTA(A$11:A118)=0,"",1000+SUM(H$11:H118))</f>
        <v/>
      </c>
      <c r="J118" s="40">
        <f>IFERROR(SUM(H$11:H118)/SUM(F$11:F118),"")</f>
        <v/>
      </c>
    </row>
    <row r="119">
      <c r="H119" s="39">
        <f>IF(G119="W",IF(E119&lt;0,F119/ABS(E119)*100,F119*E119/100),IF(G119="L",-F119,""))</f>
        <v/>
      </c>
      <c r="I119" s="39">
        <f>IF(COUNTA(A$11:A119)=0,"",1000+SUM(H$11:H119))</f>
        <v/>
      </c>
      <c r="J119" s="40">
        <f>IFERROR(SUM(H$11:H119)/SUM(F$11:F119),"")</f>
        <v/>
      </c>
    </row>
    <row r="120">
      <c r="H120" s="39">
        <f>IF(G120="W",IF(E120&lt;0,F120/ABS(E120)*100,F120*E120/100),IF(G120="L",-F120,""))</f>
        <v/>
      </c>
      <c r="I120" s="39">
        <f>IF(COUNTA(A$11:A120)=0,"",1000+SUM(H$11:H120))</f>
        <v/>
      </c>
      <c r="J120" s="40">
        <f>IFERROR(SUM(H$11:H120)/SUM(F$11:F120),"")</f>
        <v/>
      </c>
    </row>
    <row r="121">
      <c r="H121" s="39">
        <f>IF(G121="W",IF(E121&lt;0,F121/ABS(E121)*100,F121*E121/100),IF(G121="L",-F121,""))</f>
        <v/>
      </c>
      <c r="I121" s="39">
        <f>IF(COUNTA(A$11:A121)=0,"",1000+SUM(H$11:H121))</f>
        <v/>
      </c>
      <c r="J121" s="40">
        <f>IFERROR(SUM(H$11:H121)/SUM(F$11:F121),"")</f>
        <v/>
      </c>
    </row>
    <row r="122">
      <c r="H122" s="39">
        <f>IF(G122="W",IF(E122&lt;0,F122/ABS(E122)*100,F122*E122/100),IF(G122="L",-F122,""))</f>
        <v/>
      </c>
      <c r="I122" s="39">
        <f>IF(COUNTA(A$11:A122)=0,"",1000+SUM(H$11:H122))</f>
        <v/>
      </c>
      <c r="J122" s="40">
        <f>IFERROR(SUM(H$11:H122)/SUM(F$11:F122),"")</f>
        <v/>
      </c>
    </row>
    <row r="123">
      <c r="H123" s="39">
        <f>IF(G123="W",IF(E123&lt;0,F123/ABS(E123)*100,F123*E123/100),IF(G123="L",-F123,""))</f>
        <v/>
      </c>
      <c r="I123" s="39">
        <f>IF(COUNTA(A$11:A123)=0,"",1000+SUM(H$11:H123))</f>
        <v/>
      </c>
      <c r="J123" s="40">
        <f>IFERROR(SUM(H$11:H123)/SUM(F$11:F123),"")</f>
        <v/>
      </c>
    </row>
    <row r="124">
      <c r="H124" s="39">
        <f>IF(G124="W",IF(E124&lt;0,F124/ABS(E124)*100,F124*E124/100),IF(G124="L",-F124,""))</f>
        <v/>
      </c>
      <c r="I124" s="39">
        <f>IF(COUNTA(A$11:A124)=0,"",1000+SUM(H$11:H124))</f>
        <v/>
      </c>
      <c r="J124" s="40">
        <f>IFERROR(SUM(H$11:H124)/SUM(F$11:F124),"")</f>
        <v/>
      </c>
    </row>
    <row r="125">
      <c r="H125" s="39">
        <f>IF(G125="W",IF(E125&lt;0,F125/ABS(E125)*100,F125*E125/100),IF(G125="L",-F125,""))</f>
        <v/>
      </c>
      <c r="I125" s="39">
        <f>IF(COUNTA(A$11:A125)=0,"",1000+SUM(H$11:H125))</f>
        <v/>
      </c>
      <c r="J125" s="40">
        <f>IFERROR(SUM(H$11:H125)/SUM(F$11:F125),"")</f>
        <v/>
      </c>
    </row>
    <row r="126">
      <c r="H126" s="39">
        <f>IF(G126="W",IF(E126&lt;0,F126/ABS(E126)*100,F126*E126/100),IF(G126="L",-F126,""))</f>
        <v/>
      </c>
      <c r="I126" s="39">
        <f>IF(COUNTA(A$11:A126)=0,"",1000+SUM(H$11:H126))</f>
        <v/>
      </c>
      <c r="J126" s="40">
        <f>IFERROR(SUM(H$11:H126)/SUM(F$11:F126),"")</f>
        <v/>
      </c>
    </row>
    <row r="127">
      <c r="H127" s="39">
        <f>IF(G127="W",IF(E127&lt;0,F127/ABS(E127)*100,F127*E127/100),IF(G127="L",-F127,""))</f>
        <v/>
      </c>
      <c r="I127" s="39">
        <f>IF(COUNTA(A$11:A127)=0,"",1000+SUM(H$11:H127))</f>
        <v/>
      </c>
      <c r="J127" s="40">
        <f>IFERROR(SUM(H$11:H127)/SUM(F$11:F127),"")</f>
        <v/>
      </c>
    </row>
    <row r="128">
      <c r="H128" s="39">
        <f>IF(G128="W",IF(E128&lt;0,F128/ABS(E128)*100,F128*E128/100),IF(G128="L",-F128,""))</f>
        <v/>
      </c>
      <c r="I128" s="39">
        <f>IF(COUNTA(A$11:A128)=0,"",1000+SUM(H$11:H128))</f>
        <v/>
      </c>
      <c r="J128" s="40">
        <f>IFERROR(SUM(H$11:H128)/SUM(F$11:F128),"")</f>
        <v/>
      </c>
    </row>
    <row r="129">
      <c r="H129" s="39">
        <f>IF(G129="W",IF(E129&lt;0,F129/ABS(E129)*100,F129*E129/100),IF(G129="L",-F129,""))</f>
        <v/>
      </c>
      <c r="I129" s="39">
        <f>IF(COUNTA(A$11:A129)=0,"",1000+SUM(H$11:H129))</f>
        <v/>
      </c>
      <c r="J129" s="40">
        <f>IFERROR(SUM(H$11:H129)/SUM(F$11:F129),"")</f>
        <v/>
      </c>
    </row>
    <row r="130">
      <c r="H130" s="39">
        <f>IF(G130="W",IF(E130&lt;0,F130/ABS(E130)*100,F130*E130/100),IF(G130="L",-F130,""))</f>
        <v/>
      </c>
      <c r="I130" s="39">
        <f>IF(COUNTA(A$11:A130)=0,"",1000+SUM(H$11:H130))</f>
        <v/>
      </c>
      <c r="J130" s="40">
        <f>IFERROR(SUM(H$11:H130)/SUM(F$11:F130),"")</f>
        <v/>
      </c>
    </row>
    <row r="131">
      <c r="H131" s="39">
        <f>IF(G131="W",IF(E131&lt;0,F131/ABS(E131)*100,F131*E131/100),IF(G131="L",-F131,""))</f>
        <v/>
      </c>
      <c r="I131" s="39">
        <f>IF(COUNTA(A$11:A131)=0,"",1000+SUM(H$11:H131))</f>
        <v/>
      </c>
      <c r="J131" s="40">
        <f>IFERROR(SUM(H$11:H131)/SUM(F$11:F131),"")</f>
        <v/>
      </c>
    </row>
    <row r="132">
      <c r="H132" s="39">
        <f>IF(G132="W",IF(E132&lt;0,F132/ABS(E132)*100,F132*E132/100),IF(G132="L",-F132,""))</f>
        <v/>
      </c>
      <c r="I132" s="39">
        <f>IF(COUNTA(A$11:A132)=0,"",1000+SUM(H$11:H132))</f>
        <v/>
      </c>
      <c r="J132" s="40">
        <f>IFERROR(SUM(H$11:H132)/SUM(F$11:F132),"")</f>
        <v/>
      </c>
    </row>
    <row r="133">
      <c r="H133" s="39">
        <f>IF(G133="W",IF(E133&lt;0,F133/ABS(E133)*100,F133*E133/100),IF(G133="L",-F133,""))</f>
        <v/>
      </c>
      <c r="I133" s="39">
        <f>IF(COUNTA(A$11:A133)=0,"",1000+SUM(H$11:H133))</f>
        <v/>
      </c>
      <c r="J133" s="40">
        <f>IFERROR(SUM(H$11:H133)/SUM(F$11:F133),"")</f>
        <v/>
      </c>
    </row>
    <row r="134">
      <c r="H134" s="39">
        <f>IF(G134="W",IF(E134&lt;0,F134/ABS(E134)*100,F134*E134/100),IF(G134="L",-F134,""))</f>
        <v/>
      </c>
      <c r="I134" s="39">
        <f>IF(COUNTA(A$11:A134)=0,"",1000+SUM(H$11:H134))</f>
        <v/>
      </c>
      <c r="J134" s="40">
        <f>IFERROR(SUM(H$11:H134)/SUM(F$11:F134),"")</f>
        <v/>
      </c>
    </row>
    <row r="135">
      <c r="H135" s="39">
        <f>IF(G135="W",IF(E135&lt;0,F135/ABS(E135)*100,F135*E135/100),IF(G135="L",-F135,""))</f>
        <v/>
      </c>
      <c r="I135" s="39">
        <f>IF(COUNTA(A$11:A135)=0,"",1000+SUM(H$11:H135))</f>
        <v/>
      </c>
      <c r="J135" s="40">
        <f>IFERROR(SUM(H$11:H135)/SUM(F$11:F135),"")</f>
        <v/>
      </c>
    </row>
    <row r="136">
      <c r="H136" s="39">
        <f>IF(G136="W",IF(E136&lt;0,F136/ABS(E136)*100,F136*E136/100),IF(G136="L",-F136,""))</f>
        <v/>
      </c>
      <c r="I136" s="39">
        <f>IF(COUNTA(A$11:A136)=0,"",1000+SUM(H$11:H136))</f>
        <v/>
      </c>
      <c r="J136" s="40">
        <f>IFERROR(SUM(H$11:H136)/SUM(F$11:F136),"")</f>
        <v/>
      </c>
    </row>
    <row r="137">
      <c r="H137" s="39">
        <f>IF(G137="W",IF(E137&lt;0,F137/ABS(E137)*100,F137*E137/100),IF(G137="L",-F137,""))</f>
        <v/>
      </c>
      <c r="I137" s="39">
        <f>IF(COUNTA(A$11:A137)=0,"",1000+SUM(H$11:H137))</f>
        <v/>
      </c>
      <c r="J137" s="40">
        <f>IFERROR(SUM(H$11:H137)/SUM(F$11:F137),"")</f>
        <v/>
      </c>
    </row>
    <row r="138">
      <c r="H138" s="39">
        <f>IF(G138="W",IF(E138&lt;0,F138/ABS(E138)*100,F138*E138/100),IF(G138="L",-F138,""))</f>
        <v/>
      </c>
      <c r="I138" s="39">
        <f>IF(COUNTA(A$11:A138)=0,"",1000+SUM(H$11:H138))</f>
        <v/>
      </c>
      <c r="J138" s="40">
        <f>IFERROR(SUM(H$11:H138)/SUM(F$11:F138),"")</f>
        <v/>
      </c>
    </row>
    <row r="139">
      <c r="H139" s="39">
        <f>IF(G139="W",IF(E139&lt;0,F139/ABS(E139)*100,F139*E139/100),IF(G139="L",-F139,""))</f>
        <v/>
      </c>
      <c r="I139" s="39">
        <f>IF(COUNTA(A$11:A139)=0,"",1000+SUM(H$11:H139))</f>
        <v/>
      </c>
      <c r="J139" s="40">
        <f>IFERROR(SUM(H$11:H139)/SUM(F$11:F139),"")</f>
        <v/>
      </c>
    </row>
    <row r="140">
      <c r="H140" s="39">
        <f>IF(G140="W",IF(E140&lt;0,F140/ABS(E140)*100,F140*E140/100),IF(G140="L",-F140,""))</f>
        <v/>
      </c>
      <c r="I140" s="39">
        <f>IF(COUNTA(A$11:A140)=0,"",1000+SUM(H$11:H140))</f>
        <v/>
      </c>
      <c r="J140" s="40">
        <f>IFERROR(SUM(H$11:H140)/SUM(F$11:F140),"")</f>
        <v/>
      </c>
    </row>
    <row r="141">
      <c r="H141" s="39">
        <f>IF(G141="W",IF(E141&lt;0,F141/ABS(E141)*100,F141*E141/100),IF(G141="L",-F141,""))</f>
        <v/>
      </c>
      <c r="I141" s="39">
        <f>IF(COUNTA(A$11:A141)=0,"",1000+SUM(H$11:H141))</f>
        <v/>
      </c>
      <c r="J141" s="40">
        <f>IFERROR(SUM(H$11:H141)/SUM(F$11:F141),"")</f>
        <v/>
      </c>
    </row>
    <row r="142">
      <c r="H142" s="39">
        <f>IF(G142="W",IF(E142&lt;0,F142/ABS(E142)*100,F142*E142/100),IF(G142="L",-F142,""))</f>
        <v/>
      </c>
      <c r="I142" s="39">
        <f>IF(COUNTA(A$11:A142)=0,"",1000+SUM(H$11:H142))</f>
        <v/>
      </c>
      <c r="J142" s="40">
        <f>IFERROR(SUM(H$11:H142)/SUM(F$11:F142),"")</f>
        <v/>
      </c>
    </row>
    <row r="143">
      <c r="H143" s="39">
        <f>IF(G143="W",IF(E143&lt;0,F143/ABS(E143)*100,F143*E143/100),IF(G143="L",-F143,""))</f>
        <v/>
      </c>
      <c r="I143" s="39">
        <f>IF(COUNTA(A$11:A143)=0,"",1000+SUM(H$11:H143))</f>
        <v/>
      </c>
      <c r="J143" s="40">
        <f>IFERROR(SUM(H$11:H143)/SUM(F$11:F143),"")</f>
        <v/>
      </c>
    </row>
    <row r="144">
      <c r="H144" s="39">
        <f>IF(G144="W",IF(E144&lt;0,F144/ABS(E144)*100,F144*E144/100),IF(G144="L",-F144,""))</f>
        <v/>
      </c>
      <c r="I144" s="39">
        <f>IF(COUNTA(A$11:A144)=0,"",1000+SUM(H$11:H144))</f>
        <v/>
      </c>
      <c r="J144" s="40">
        <f>IFERROR(SUM(H$11:H144)/SUM(F$11:F144),"")</f>
        <v/>
      </c>
    </row>
    <row r="145">
      <c r="H145" s="39">
        <f>IF(G145="W",IF(E145&lt;0,F145/ABS(E145)*100,F145*E145/100),IF(G145="L",-F145,""))</f>
        <v/>
      </c>
      <c r="I145" s="39">
        <f>IF(COUNTA(A$11:A145)=0,"",1000+SUM(H$11:H145))</f>
        <v/>
      </c>
      <c r="J145" s="40">
        <f>IFERROR(SUM(H$11:H145)/SUM(F$11:F145),"")</f>
        <v/>
      </c>
    </row>
    <row r="146">
      <c r="H146" s="39">
        <f>IF(G146="W",IF(E146&lt;0,F146/ABS(E146)*100,F146*E146/100),IF(G146="L",-F146,""))</f>
        <v/>
      </c>
      <c r="I146" s="39">
        <f>IF(COUNTA(A$11:A146)=0,"",1000+SUM(H$11:H146))</f>
        <v/>
      </c>
      <c r="J146" s="40">
        <f>IFERROR(SUM(H$11:H146)/SUM(F$11:F146),"")</f>
        <v/>
      </c>
    </row>
    <row r="147">
      <c r="H147" s="39">
        <f>IF(G147="W",IF(E147&lt;0,F147/ABS(E147)*100,F147*E147/100),IF(G147="L",-F147,""))</f>
        <v/>
      </c>
      <c r="I147" s="39">
        <f>IF(COUNTA(A$11:A147)=0,"",1000+SUM(H$11:H147))</f>
        <v/>
      </c>
      <c r="J147" s="40">
        <f>IFERROR(SUM(H$11:H147)/SUM(F$11:F147),"")</f>
        <v/>
      </c>
    </row>
    <row r="148">
      <c r="H148" s="39">
        <f>IF(G148="W",IF(E148&lt;0,F148/ABS(E148)*100,F148*E148/100),IF(G148="L",-F148,""))</f>
        <v/>
      </c>
      <c r="I148" s="39">
        <f>IF(COUNTA(A$11:A148)=0,"",1000+SUM(H$11:H148))</f>
        <v/>
      </c>
      <c r="J148" s="40">
        <f>IFERROR(SUM(H$11:H148)/SUM(F$11:F148),"")</f>
        <v/>
      </c>
    </row>
    <row r="149">
      <c r="H149" s="39">
        <f>IF(G149="W",IF(E149&lt;0,F149/ABS(E149)*100,F149*E149/100),IF(G149="L",-F149,""))</f>
        <v/>
      </c>
      <c r="I149" s="39">
        <f>IF(COUNTA(A$11:A149)=0,"",1000+SUM(H$11:H149))</f>
        <v/>
      </c>
      <c r="J149" s="40">
        <f>IFERROR(SUM(H$11:H149)/SUM(F$11:F149),"")</f>
        <v/>
      </c>
    </row>
    <row r="150">
      <c r="H150" s="39">
        <f>IF(G150="W",IF(E150&lt;0,F150/ABS(E150)*100,F150*E150/100),IF(G150="L",-F150,""))</f>
        <v/>
      </c>
      <c r="I150" s="39">
        <f>IF(COUNTA(A$11:A150)=0,"",1000+SUM(H$11:H150))</f>
        <v/>
      </c>
      <c r="J150" s="40">
        <f>IFERROR(SUM(H$11:H150)/SUM(F$11:F150),"")</f>
        <v/>
      </c>
    </row>
    <row r="151">
      <c r="H151" s="39">
        <f>IF(G151="W",IF(E151&lt;0,F151/ABS(E151)*100,F151*E151/100),IF(G151="L",-F151,""))</f>
        <v/>
      </c>
      <c r="I151" s="39">
        <f>IF(COUNTA(A$11:A151)=0,"",1000+SUM(H$11:H151))</f>
        <v/>
      </c>
      <c r="J151" s="40">
        <f>IFERROR(SUM(H$11:H151)/SUM(F$11:F151),"")</f>
        <v/>
      </c>
    </row>
    <row r="152">
      <c r="H152" s="39">
        <f>IF(G152="W",IF(E152&lt;0,F152/ABS(E152)*100,F152*E152/100),IF(G152="L",-F152,""))</f>
        <v/>
      </c>
      <c r="I152" s="39">
        <f>IF(COUNTA(A$11:A152)=0,"",1000+SUM(H$11:H152))</f>
        <v/>
      </c>
      <c r="J152" s="40">
        <f>IFERROR(SUM(H$11:H152)/SUM(F$11:F152),"")</f>
        <v/>
      </c>
    </row>
    <row r="153">
      <c r="H153" s="39">
        <f>IF(G153="W",IF(E153&lt;0,F153/ABS(E153)*100,F153*E153/100),IF(G153="L",-F153,""))</f>
        <v/>
      </c>
      <c r="I153" s="39">
        <f>IF(COUNTA(A$11:A153)=0,"",1000+SUM(H$11:H153))</f>
        <v/>
      </c>
      <c r="J153" s="40">
        <f>IFERROR(SUM(H$11:H153)/SUM(F$11:F153),"")</f>
        <v/>
      </c>
    </row>
    <row r="154">
      <c r="H154" s="39">
        <f>IF(G154="W",IF(E154&lt;0,F154/ABS(E154)*100,F154*E154/100),IF(G154="L",-F154,""))</f>
        <v/>
      </c>
      <c r="I154" s="39">
        <f>IF(COUNTA(A$11:A154)=0,"",1000+SUM(H$11:H154))</f>
        <v/>
      </c>
      <c r="J154" s="40">
        <f>IFERROR(SUM(H$11:H154)/SUM(F$11:F154),"")</f>
        <v/>
      </c>
    </row>
    <row r="155">
      <c r="H155" s="39">
        <f>IF(G155="W",IF(E155&lt;0,F155/ABS(E155)*100,F155*E155/100),IF(G155="L",-F155,""))</f>
        <v/>
      </c>
      <c r="I155" s="39">
        <f>IF(COUNTA(A$11:A155)=0,"",1000+SUM(H$11:H155))</f>
        <v/>
      </c>
      <c r="J155" s="40">
        <f>IFERROR(SUM(H$11:H155)/SUM(F$11:F155),"")</f>
        <v/>
      </c>
    </row>
    <row r="156">
      <c r="H156" s="39">
        <f>IF(G156="W",IF(E156&lt;0,F156/ABS(E156)*100,F156*E156/100),IF(G156="L",-F156,""))</f>
        <v/>
      </c>
      <c r="I156" s="39">
        <f>IF(COUNTA(A$11:A156)=0,"",1000+SUM(H$11:H156))</f>
        <v/>
      </c>
      <c r="J156" s="40">
        <f>IFERROR(SUM(H$11:H156)/SUM(F$11:F156),"")</f>
        <v/>
      </c>
    </row>
    <row r="157">
      <c r="H157" s="39">
        <f>IF(G157="W",IF(E157&lt;0,F157/ABS(E157)*100,F157*E157/100),IF(G157="L",-F157,""))</f>
        <v/>
      </c>
      <c r="I157" s="39">
        <f>IF(COUNTA(A$11:A157)=0,"",1000+SUM(H$11:H157))</f>
        <v/>
      </c>
      <c r="J157" s="40">
        <f>IFERROR(SUM(H$11:H157)/SUM(F$11:F157),"")</f>
        <v/>
      </c>
    </row>
    <row r="158">
      <c r="H158" s="39">
        <f>IF(G158="W",IF(E158&lt;0,F158/ABS(E158)*100,F158*E158/100),IF(G158="L",-F158,""))</f>
        <v/>
      </c>
      <c r="I158" s="39">
        <f>IF(COUNTA(A$11:A158)=0,"",1000+SUM(H$11:H158))</f>
        <v/>
      </c>
      <c r="J158" s="40">
        <f>IFERROR(SUM(H$11:H158)/SUM(F$11:F158),"")</f>
        <v/>
      </c>
    </row>
    <row r="159">
      <c r="H159" s="39">
        <f>IF(G159="W",IF(E159&lt;0,F159/ABS(E159)*100,F159*E159/100),IF(G159="L",-F159,""))</f>
        <v/>
      </c>
      <c r="I159" s="39">
        <f>IF(COUNTA(A$11:A159)=0,"",1000+SUM(H$11:H159))</f>
        <v/>
      </c>
      <c r="J159" s="40">
        <f>IFERROR(SUM(H$11:H159)/SUM(F$11:F159),"")</f>
        <v/>
      </c>
    </row>
    <row r="160">
      <c r="H160" s="39">
        <f>IF(G160="W",IF(E160&lt;0,F160/ABS(E160)*100,F160*E160/100),IF(G160="L",-F160,""))</f>
        <v/>
      </c>
      <c r="I160" s="39">
        <f>IF(COUNTA(A$11:A160)=0,"",1000+SUM(H$11:H160))</f>
        <v/>
      </c>
      <c r="J160" s="40">
        <f>IFERROR(SUM(H$11:H160)/SUM(F$11:F160),"")</f>
        <v/>
      </c>
    </row>
    <row r="161">
      <c r="H161" s="39">
        <f>IF(G161="W",IF(E161&lt;0,F161/ABS(E161)*100,F161*E161/100),IF(G161="L",-F161,""))</f>
        <v/>
      </c>
      <c r="I161" s="39">
        <f>IF(COUNTA(A$11:A161)=0,"",1000+SUM(H$11:H161))</f>
        <v/>
      </c>
      <c r="J161" s="40">
        <f>IFERROR(SUM(H$11:H161)/SUM(F$11:F161),"")</f>
        <v/>
      </c>
    </row>
    <row r="162">
      <c r="H162" s="39">
        <f>IF(G162="W",IF(E162&lt;0,F162/ABS(E162)*100,F162*E162/100),IF(G162="L",-F162,""))</f>
        <v/>
      </c>
      <c r="I162" s="39">
        <f>IF(COUNTA(A$11:A162)=0,"",1000+SUM(H$11:H162))</f>
        <v/>
      </c>
      <c r="J162" s="40">
        <f>IFERROR(SUM(H$11:H162)/SUM(F$11:F162),"")</f>
        <v/>
      </c>
    </row>
    <row r="163">
      <c r="H163" s="39">
        <f>IF(G163="W",IF(E163&lt;0,F163/ABS(E163)*100,F163*E163/100),IF(G163="L",-F163,""))</f>
        <v/>
      </c>
      <c r="I163" s="39">
        <f>IF(COUNTA(A$11:A163)=0,"",1000+SUM(H$11:H163))</f>
        <v/>
      </c>
      <c r="J163" s="40">
        <f>IFERROR(SUM(H$11:H163)/SUM(F$11:F163),"")</f>
        <v/>
      </c>
    </row>
    <row r="164">
      <c r="H164" s="39">
        <f>IF(G164="W",IF(E164&lt;0,F164/ABS(E164)*100,F164*E164/100),IF(G164="L",-F164,""))</f>
        <v/>
      </c>
      <c r="I164" s="39">
        <f>IF(COUNTA(A$11:A164)=0,"",1000+SUM(H$11:H164))</f>
        <v/>
      </c>
      <c r="J164" s="40">
        <f>IFERROR(SUM(H$11:H164)/SUM(F$11:F164),"")</f>
        <v/>
      </c>
    </row>
    <row r="165">
      <c r="H165" s="39">
        <f>IF(G165="W",IF(E165&lt;0,F165/ABS(E165)*100,F165*E165/100),IF(G165="L",-F165,""))</f>
        <v/>
      </c>
      <c r="I165" s="39">
        <f>IF(COUNTA(A$11:A165)=0,"",1000+SUM(H$11:H165))</f>
        <v/>
      </c>
      <c r="J165" s="40">
        <f>IFERROR(SUM(H$11:H165)/SUM(F$11:F165),"")</f>
        <v/>
      </c>
    </row>
    <row r="166">
      <c r="H166" s="39">
        <f>IF(G166="W",IF(E166&lt;0,F166/ABS(E166)*100,F166*E166/100),IF(G166="L",-F166,""))</f>
        <v/>
      </c>
      <c r="I166" s="39">
        <f>IF(COUNTA(A$11:A166)=0,"",1000+SUM(H$11:H166))</f>
        <v/>
      </c>
      <c r="J166" s="40">
        <f>IFERROR(SUM(H$11:H166)/SUM(F$11:F166),"")</f>
        <v/>
      </c>
    </row>
    <row r="167">
      <c r="H167" s="39">
        <f>IF(G167="W",IF(E167&lt;0,F167/ABS(E167)*100,F167*E167/100),IF(G167="L",-F167,""))</f>
        <v/>
      </c>
      <c r="I167" s="39">
        <f>IF(COUNTA(A$11:A167)=0,"",1000+SUM(H$11:H167))</f>
        <v/>
      </c>
      <c r="J167" s="40">
        <f>IFERROR(SUM(H$11:H167)/SUM(F$11:F167),"")</f>
        <v/>
      </c>
    </row>
    <row r="168">
      <c r="H168" s="39">
        <f>IF(G168="W",IF(E168&lt;0,F168/ABS(E168)*100,F168*E168/100),IF(G168="L",-F168,""))</f>
        <v/>
      </c>
      <c r="I168" s="39">
        <f>IF(COUNTA(A$11:A168)=0,"",1000+SUM(H$11:H168))</f>
        <v/>
      </c>
      <c r="J168" s="40">
        <f>IFERROR(SUM(H$11:H168)/SUM(F$11:F168),"")</f>
        <v/>
      </c>
    </row>
    <row r="169">
      <c r="H169" s="39">
        <f>IF(G169="W",IF(E169&lt;0,F169/ABS(E169)*100,F169*E169/100),IF(G169="L",-F169,""))</f>
        <v/>
      </c>
      <c r="I169" s="39">
        <f>IF(COUNTA(A$11:A169)=0,"",1000+SUM(H$11:H169))</f>
        <v/>
      </c>
      <c r="J169" s="40">
        <f>IFERROR(SUM(H$11:H169)/SUM(F$11:F169),"")</f>
        <v/>
      </c>
    </row>
    <row r="170">
      <c r="H170" s="39">
        <f>IF(G170="W",IF(E170&lt;0,F170/ABS(E170)*100,F170*E170/100),IF(G170="L",-F170,""))</f>
        <v/>
      </c>
      <c r="I170" s="39">
        <f>IF(COUNTA(A$11:A170)=0,"",1000+SUM(H$11:H170))</f>
        <v/>
      </c>
      <c r="J170" s="40">
        <f>IFERROR(SUM(H$11:H170)/SUM(F$11:F170),"")</f>
        <v/>
      </c>
    </row>
    <row r="171">
      <c r="H171" s="39">
        <f>IF(G171="W",IF(E171&lt;0,F171/ABS(E171)*100,F171*E171/100),IF(G171="L",-F171,""))</f>
        <v/>
      </c>
      <c r="I171" s="39">
        <f>IF(COUNTA(A$11:A171)=0,"",1000+SUM(H$11:H171))</f>
        <v/>
      </c>
      <c r="J171" s="40">
        <f>IFERROR(SUM(H$11:H171)/SUM(F$11:F171),"")</f>
        <v/>
      </c>
    </row>
    <row r="172">
      <c r="H172" s="39">
        <f>IF(G172="W",IF(E172&lt;0,F172/ABS(E172)*100,F172*E172/100),IF(G172="L",-F172,""))</f>
        <v/>
      </c>
      <c r="I172" s="39">
        <f>IF(COUNTA(A$11:A172)=0,"",1000+SUM(H$11:H172))</f>
        <v/>
      </c>
      <c r="J172" s="40">
        <f>IFERROR(SUM(H$11:H172)/SUM(F$11:F172),"")</f>
        <v/>
      </c>
    </row>
    <row r="173">
      <c r="H173" s="39">
        <f>IF(G173="W",IF(E173&lt;0,F173/ABS(E173)*100,F173*E173/100),IF(G173="L",-F173,""))</f>
        <v/>
      </c>
      <c r="I173" s="39">
        <f>IF(COUNTA(A$11:A173)=0,"",1000+SUM(H$11:H173))</f>
        <v/>
      </c>
      <c r="J173" s="40">
        <f>IFERROR(SUM(H$11:H173)/SUM(F$11:F173),"")</f>
        <v/>
      </c>
    </row>
    <row r="174">
      <c r="H174" s="39">
        <f>IF(G174="W",IF(E174&lt;0,F174/ABS(E174)*100,F174*E174/100),IF(G174="L",-F174,""))</f>
        <v/>
      </c>
      <c r="I174" s="39">
        <f>IF(COUNTA(A$11:A174)=0,"",1000+SUM(H$11:H174))</f>
        <v/>
      </c>
      <c r="J174" s="40">
        <f>IFERROR(SUM(H$11:H174)/SUM(F$11:F174),"")</f>
        <v/>
      </c>
    </row>
    <row r="175">
      <c r="H175" s="39">
        <f>IF(G175="W",IF(E175&lt;0,F175/ABS(E175)*100,F175*E175/100),IF(G175="L",-F175,""))</f>
        <v/>
      </c>
      <c r="I175" s="39">
        <f>IF(COUNTA(A$11:A175)=0,"",1000+SUM(H$11:H175))</f>
        <v/>
      </c>
      <c r="J175" s="40">
        <f>IFERROR(SUM(H$11:H175)/SUM(F$11:F175),"")</f>
        <v/>
      </c>
    </row>
    <row r="176">
      <c r="H176" s="39">
        <f>IF(G176="W",IF(E176&lt;0,F176/ABS(E176)*100,F176*E176/100),IF(G176="L",-F176,""))</f>
        <v/>
      </c>
      <c r="I176" s="39">
        <f>IF(COUNTA(A$11:A176)=0,"",1000+SUM(H$11:H176))</f>
        <v/>
      </c>
      <c r="J176" s="40">
        <f>IFERROR(SUM(H$11:H176)/SUM(F$11:F176),"")</f>
        <v/>
      </c>
    </row>
    <row r="177">
      <c r="H177" s="39">
        <f>IF(G177="W",IF(E177&lt;0,F177/ABS(E177)*100,F177*E177/100),IF(G177="L",-F177,""))</f>
        <v/>
      </c>
      <c r="I177" s="39">
        <f>IF(COUNTA(A$11:A177)=0,"",1000+SUM(H$11:H177))</f>
        <v/>
      </c>
      <c r="J177" s="40">
        <f>IFERROR(SUM(H$11:H177)/SUM(F$11:F177),"")</f>
        <v/>
      </c>
    </row>
    <row r="178">
      <c r="H178" s="39">
        <f>IF(G178="W",IF(E178&lt;0,F178/ABS(E178)*100,F178*E178/100),IF(G178="L",-F178,""))</f>
        <v/>
      </c>
      <c r="I178" s="39">
        <f>IF(COUNTA(A$11:A178)=0,"",1000+SUM(H$11:H178))</f>
        <v/>
      </c>
      <c r="J178" s="40">
        <f>IFERROR(SUM(H$11:H178)/SUM(F$11:F178),"")</f>
        <v/>
      </c>
    </row>
    <row r="179">
      <c r="H179" s="39">
        <f>IF(G179="W",IF(E179&lt;0,F179/ABS(E179)*100,F179*E179/100),IF(G179="L",-F179,""))</f>
        <v/>
      </c>
      <c r="I179" s="39">
        <f>IF(COUNTA(A$11:A179)=0,"",1000+SUM(H$11:H179))</f>
        <v/>
      </c>
      <c r="J179" s="40">
        <f>IFERROR(SUM(H$11:H179)/SUM(F$11:F179),"")</f>
        <v/>
      </c>
    </row>
    <row r="180">
      <c r="H180" s="39">
        <f>IF(G180="W",IF(E180&lt;0,F180/ABS(E180)*100,F180*E180/100),IF(G180="L",-F180,""))</f>
        <v/>
      </c>
      <c r="I180" s="39">
        <f>IF(COUNTA(A$11:A180)=0,"",1000+SUM(H$11:H180))</f>
        <v/>
      </c>
      <c r="J180" s="40">
        <f>IFERROR(SUM(H$11:H180)/SUM(F$11:F180),"")</f>
        <v/>
      </c>
    </row>
    <row r="181">
      <c r="H181" s="39">
        <f>IF(G181="W",IF(E181&lt;0,F181/ABS(E181)*100,F181*E181/100),IF(G181="L",-F181,""))</f>
        <v/>
      </c>
      <c r="I181" s="39">
        <f>IF(COUNTA(A$11:A181)=0,"",1000+SUM(H$11:H181))</f>
        <v/>
      </c>
      <c r="J181" s="40">
        <f>IFERROR(SUM(H$11:H181)/SUM(F$11:F181),"")</f>
        <v/>
      </c>
    </row>
    <row r="182">
      <c r="H182" s="39">
        <f>IF(G182="W",IF(E182&lt;0,F182/ABS(E182)*100,F182*E182/100),IF(G182="L",-F182,""))</f>
        <v/>
      </c>
      <c r="I182" s="39">
        <f>IF(COUNTA(A$11:A182)=0,"",1000+SUM(H$11:H182))</f>
        <v/>
      </c>
      <c r="J182" s="40">
        <f>IFERROR(SUM(H$11:H182)/SUM(F$11:F182),"")</f>
        <v/>
      </c>
    </row>
    <row r="183">
      <c r="H183" s="39">
        <f>IF(G183="W",IF(E183&lt;0,F183/ABS(E183)*100,F183*E183/100),IF(G183="L",-F183,""))</f>
        <v/>
      </c>
      <c r="I183" s="39">
        <f>IF(COUNTA(A$11:A183)=0,"",1000+SUM(H$11:H183))</f>
        <v/>
      </c>
      <c r="J183" s="40">
        <f>IFERROR(SUM(H$11:H183)/SUM(F$11:F183),"")</f>
        <v/>
      </c>
    </row>
    <row r="184">
      <c r="H184" s="39">
        <f>IF(G184="W",IF(E184&lt;0,F184/ABS(E184)*100,F184*E184/100),IF(G184="L",-F184,""))</f>
        <v/>
      </c>
      <c r="I184" s="39">
        <f>IF(COUNTA(A$11:A184)=0,"",1000+SUM(H$11:H184))</f>
        <v/>
      </c>
      <c r="J184" s="40">
        <f>IFERROR(SUM(H$11:H184)/SUM(F$11:F184),"")</f>
        <v/>
      </c>
    </row>
    <row r="185">
      <c r="H185" s="39">
        <f>IF(G185="W",IF(E185&lt;0,F185/ABS(E185)*100,F185*E185/100),IF(G185="L",-F185,""))</f>
        <v/>
      </c>
      <c r="I185" s="39">
        <f>IF(COUNTA(A$11:A185)=0,"",1000+SUM(H$11:H185))</f>
        <v/>
      </c>
      <c r="J185" s="40">
        <f>IFERROR(SUM(H$11:H185)/SUM(F$11:F185),"")</f>
        <v/>
      </c>
    </row>
    <row r="186">
      <c r="H186" s="39">
        <f>IF(G186="W",IF(E186&lt;0,F186/ABS(E186)*100,F186*E186/100),IF(G186="L",-F186,""))</f>
        <v/>
      </c>
      <c r="I186" s="39">
        <f>IF(COUNTA(A$11:A186)=0,"",1000+SUM(H$11:H186))</f>
        <v/>
      </c>
      <c r="J186" s="40">
        <f>IFERROR(SUM(H$11:H186)/SUM(F$11:F186),"")</f>
        <v/>
      </c>
    </row>
    <row r="187">
      <c r="H187" s="39">
        <f>IF(G187="W",IF(E187&lt;0,F187/ABS(E187)*100,F187*E187/100),IF(G187="L",-F187,""))</f>
        <v/>
      </c>
      <c r="I187" s="39">
        <f>IF(COUNTA(A$11:A187)=0,"",1000+SUM(H$11:H187))</f>
        <v/>
      </c>
      <c r="J187" s="40">
        <f>IFERROR(SUM(H$11:H187)/SUM(F$11:F187),"")</f>
        <v/>
      </c>
    </row>
    <row r="188">
      <c r="H188" s="39">
        <f>IF(G188="W",IF(E188&lt;0,F188/ABS(E188)*100,F188*E188/100),IF(G188="L",-F188,""))</f>
        <v/>
      </c>
      <c r="I188" s="39">
        <f>IF(COUNTA(A$11:A188)=0,"",1000+SUM(H$11:H188))</f>
        <v/>
      </c>
      <c r="J188" s="40">
        <f>IFERROR(SUM(H$11:H188)/SUM(F$11:F188),"")</f>
        <v/>
      </c>
    </row>
    <row r="189">
      <c r="H189" s="39">
        <f>IF(G189="W",IF(E189&lt;0,F189/ABS(E189)*100,F189*E189/100),IF(G189="L",-F189,""))</f>
        <v/>
      </c>
      <c r="I189" s="39">
        <f>IF(COUNTA(A$11:A189)=0,"",1000+SUM(H$11:H189))</f>
        <v/>
      </c>
      <c r="J189" s="40">
        <f>IFERROR(SUM(H$11:H189)/SUM(F$11:F189),"")</f>
        <v/>
      </c>
    </row>
    <row r="190">
      <c r="H190" s="39">
        <f>IF(G190="W",IF(E190&lt;0,F190/ABS(E190)*100,F190*E190/100),IF(G190="L",-F190,""))</f>
        <v/>
      </c>
      <c r="I190" s="39">
        <f>IF(COUNTA(A$11:A190)=0,"",1000+SUM(H$11:H190))</f>
        <v/>
      </c>
      <c r="J190" s="40">
        <f>IFERROR(SUM(H$11:H190)/SUM(F$11:F190),"")</f>
        <v/>
      </c>
    </row>
    <row r="191">
      <c r="H191" s="39">
        <f>IF(G191="W",IF(E191&lt;0,F191/ABS(E191)*100,F191*E191/100),IF(G191="L",-F191,""))</f>
        <v/>
      </c>
      <c r="I191" s="39">
        <f>IF(COUNTA(A$11:A191)=0,"",1000+SUM(H$11:H191))</f>
        <v/>
      </c>
      <c r="J191" s="40">
        <f>IFERROR(SUM(H$11:H191)/SUM(F$11:F191),"")</f>
        <v/>
      </c>
    </row>
    <row r="192">
      <c r="H192" s="39">
        <f>IF(G192="W",IF(E192&lt;0,F192/ABS(E192)*100,F192*E192/100),IF(G192="L",-F192,""))</f>
        <v/>
      </c>
      <c r="I192" s="39">
        <f>IF(COUNTA(A$11:A192)=0,"",1000+SUM(H$11:H192))</f>
        <v/>
      </c>
      <c r="J192" s="40">
        <f>IFERROR(SUM(H$11:H192)/SUM(F$11:F192),"")</f>
        <v/>
      </c>
    </row>
    <row r="193">
      <c r="H193" s="39">
        <f>IF(G193="W",IF(E193&lt;0,F193/ABS(E193)*100,F193*E193/100),IF(G193="L",-F193,""))</f>
        <v/>
      </c>
      <c r="I193" s="39">
        <f>IF(COUNTA(A$11:A193)=0,"",1000+SUM(H$11:H193))</f>
        <v/>
      </c>
      <c r="J193" s="40">
        <f>IFERROR(SUM(H$11:H193)/SUM(F$11:F193),"")</f>
        <v/>
      </c>
    </row>
    <row r="194">
      <c r="H194" s="39">
        <f>IF(G194="W",IF(E194&lt;0,F194/ABS(E194)*100,F194*E194/100),IF(G194="L",-F194,""))</f>
        <v/>
      </c>
      <c r="I194" s="39">
        <f>IF(COUNTA(A$11:A194)=0,"",1000+SUM(H$11:H194))</f>
        <v/>
      </c>
      <c r="J194" s="40">
        <f>IFERROR(SUM(H$11:H194)/SUM(F$11:F194),"")</f>
        <v/>
      </c>
    </row>
    <row r="195">
      <c r="H195" s="39">
        <f>IF(G195="W",IF(E195&lt;0,F195/ABS(E195)*100,F195*E195/100),IF(G195="L",-F195,""))</f>
        <v/>
      </c>
      <c r="I195" s="39">
        <f>IF(COUNTA(A$11:A195)=0,"",1000+SUM(H$11:H195))</f>
        <v/>
      </c>
      <c r="J195" s="40">
        <f>IFERROR(SUM(H$11:H195)/SUM(F$11:F195),"")</f>
        <v/>
      </c>
    </row>
    <row r="196">
      <c r="H196" s="39">
        <f>IF(G196="W",IF(E196&lt;0,F196/ABS(E196)*100,F196*E196/100),IF(G196="L",-F196,""))</f>
        <v/>
      </c>
      <c r="I196" s="39">
        <f>IF(COUNTA(A$11:A196)=0,"",1000+SUM(H$11:H196))</f>
        <v/>
      </c>
      <c r="J196" s="40">
        <f>IFERROR(SUM(H$11:H196)/SUM(F$11:F196),"")</f>
        <v/>
      </c>
    </row>
    <row r="197">
      <c r="H197" s="39">
        <f>IF(G197="W",IF(E197&lt;0,F197/ABS(E197)*100,F197*E197/100),IF(G197="L",-F197,""))</f>
        <v/>
      </c>
      <c r="I197" s="39">
        <f>IF(COUNTA(A$11:A197)=0,"",1000+SUM(H$11:H197))</f>
        <v/>
      </c>
      <c r="J197" s="40">
        <f>IFERROR(SUM(H$11:H197)/SUM(F$11:F197),"")</f>
        <v/>
      </c>
    </row>
    <row r="198">
      <c r="H198" s="39">
        <f>IF(G198="W",IF(E198&lt;0,F198/ABS(E198)*100,F198*E198/100),IF(G198="L",-F198,""))</f>
        <v/>
      </c>
      <c r="I198" s="39">
        <f>IF(COUNTA(A$11:A198)=0,"",1000+SUM(H$11:H198))</f>
        <v/>
      </c>
      <c r="J198" s="40">
        <f>IFERROR(SUM(H$11:H198)/SUM(F$11:F198),"")</f>
        <v/>
      </c>
    </row>
    <row r="199">
      <c r="H199" s="39">
        <f>IF(G199="W",IF(E199&lt;0,F199/ABS(E199)*100,F199*E199/100),IF(G199="L",-F199,""))</f>
        <v/>
      </c>
      <c r="I199" s="39">
        <f>IF(COUNTA(A$11:A199)=0,"",1000+SUM(H$11:H199))</f>
        <v/>
      </c>
      <c r="J199" s="40">
        <f>IFERROR(SUM(H$11:H199)/SUM(F$11:F199),"")</f>
        <v/>
      </c>
    </row>
    <row r="200">
      <c r="H200" s="39">
        <f>IF(G200="W",IF(E200&lt;0,F200/ABS(E200)*100,F200*E200/100),IF(G200="L",-F200,""))</f>
        <v/>
      </c>
      <c r="I200" s="39">
        <f>IF(COUNTA(A$11:A200)=0,"",1000+SUM(H$11:H200))</f>
        <v/>
      </c>
      <c r="J200" s="40">
        <f>IFERROR(SUM(H$11:H200)/SUM(F$11:F200),"")</f>
        <v/>
      </c>
    </row>
  </sheetData>
  <mergeCells count="2">
    <mergeCell ref="A1:J1"/>
    <mergeCell ref="A3:E3"/>
  </mergeCells>
  <dataValidations count="1">
    <dataValidation sqref="G11:G1000" showDropDown="0" showInputMessage="0" showErrorMessage="0" allowBlank="1" type="list">
      <formula1>"W,L,Push"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6" customWidth="1" min="3" max="3"/>
    <col width="30" customWidth="1" min="4" max="4"/>
  </cols>
  <sheetData>
    <row r="1" ht="30" customHeight="1">
      <c r="A1" s="1" t="inlineStr">
        <is>
          <t>REFERENCE &amp; GLOSSARY</t>
        </is>
      </c>
    </row>
    <row r="2" ht="8" customHeight="1"/>
    <row r="3">
      <c r="A3" s="6" t="inlineStr">
        <is>
          <t>METRIC DEFINITIONS</t>
        </is>
      </c>
    </row>
    <row r="4">
      <c r="A4" s="29" t="inlineStr">
        <is>
          <t>Metric</t>
        </is>
      </c>
      <c r="B4" s="29" t="inlineStr">
        <is>
          <t>Definition</t>
        </is>
      </c>
      <c r="C4" s="29" t="inlineStr">
        <is>
          <t>League Average</t>
        </is>
      </c>
      <c r="D4" s="29" t="inlineStr">
        <is>
          <t>Where to Find It</t>
        </is>
      </c>
    </row>
    <row r="5" ht="40" customHeight="1">
      <c r="A5" s="41" t="inlineStr">
        <is>
          <t>FIP</t>
        </is>
      </c>
      <c r="B5" s="42" t="inlineStr">
        <is>
          <t>Fielding Independent Pitching. Measures pitcher performance based only on strikeouts, walks, and home runs — removes defense from the equation. Lower is better.</t>
        </is>
      </c>
      <c r="C5" s="43" t="inlineStr">
        <is>
          <t>4.20</t>
        </is>
      </c>
      <c r="D5" s="42" t="inlineStr">
        <is>
          <t>FanGraphs Leaderboards</t>
        </is>
      </c>
    </row>
    <row r="6" ht="40" customHeight="1">
      <c r="A6" s="44" t="inlineStr">
        <is>
          <t>xFIP</t>
        </is>
      </c>
      <c r="B6" s="45" t="inlineStr">
        <is>
          <t>Expected FIP. Like FIP but normalizes HR/FB rate to league average. Better predictor of future performance than ERA. Lower is better.</t>
        </is>
      </c>
      <c r="C6" s="46" t="inlineStr">
        <is>
          <t>4.15</t>
        </is>
      </c>
      <c r="D6" s="45" t="inlineStr">
        <is>
          <t>FanGraphs Leaderboards</t>
        </is>
      </c>
    </row>
    <row r="7" ht="40" customHeight="1">
      <c r="A7" s="41" t="inlineStr">
        <is>
          <t>SIERA</t>
        </is>
      </c>
      <c r="B7" s="42" t="inlineStr">
        <is>
          <t>Skill-Interactive ERA. Most advanced ERA estimator. Accounts for batted ball quality. Lower is better.</t>
        </is>
      </c>
      <c r="C7" s="43" t="inlineStr">
        <is>
          <t>4.10</t>
        </is>
      </c>
      <c r="D7" s="42" t="inlineStr">
        <is>
          <t>FanGraphs Leaderboards</t>
        </is>
      </c>
    </row>
    <row r="8" ht="40" customHeight="1">
      <c r="A8" s="44" t="inlineStr">
        <is>
          <t>K/9</t>
        </is>
      </c>
      <c r="B8" s="45" t="inlineStr">
        <is>
          <t>Strikeouts per 9 innings. Higher means more swing-and-miss ability. Reduces opponent's ability to put the ball in play.</t>
        </is>
      </c>
      <c r="C8" s="46" t="inlineStr">
        <is>
          <t>8.9</t>
        </is>
      </c>
      <c r="D8" s="45" t="inlineStr">
        <is>
          <t>FanGraphs / Baseball Reference</t>
        </is>
      </c>
    </row>
    <row r="9" ht="40" customHeight="1">
      <c r="A9" s="41" t="inlineStr">
        <is>
          <t>BB/9</t>
        </is>
      </c>
      <c r="B9" s="42" t="inlineStr">
        <is>
          <t>Walks per 9 innings. Lower is better. High BB/9 indicates control issues that inflate scoring.</t>
        </is>
      </c>
      <c r="C9" s="43" t="inlineStr">
        <is>
          <t>3.2</t>
        </is>
      </c>
      <c r="D9" s="42" t="inlineStr">
        <is>
          <t>FanGraphs / Baseball Reference</t>
        </is>
      </c>
    </row>
    <row r="10" ht="40" customHeight="1">
      <c r="A10" s="44" t="inlineStr">
        <is>
          <t>wOBA</t>
        </is>
      </c>
      <c r="B10" s="45" t="inlineStr">
        <is>
          <t>Weighted On-Base Average. Weights each way of reaching base by its actual run value. Better than OBP or AVG alone.</t>
        </is>
      </c>
      <c r="C10" s="46" t="inlineStr">
        <is>
          <t>.315</t>
        </is>
      </c>
      <c r="D10" s="45" t="inlineStr">
        <is>
          <t>FanGraphs Leaderboards</t>
        </is>
      </c>
    </row>
    <row r="11" ht="40" customHeight="1">
      <c r="A11" s="41" t="inlineStr">
        <is>
          <t>wRC+</t>
        </is>
      </c>
      <c r="B11" s="42" t="inlineStr">
        <is>
          <t>Weighted Runs Created Plus. Park- and league-adjusted offensive metric. 100 = league average. 120 = 20% above average.</t>
        </is>
      </c>
      <c r="C11" s="43" t="inlineStr">
        <is>
          <t>100</t>
        </is>
      </c>
      <c r="D11" s="42" t="inlineStr">
        <is>
          <t>FanGraphs Leaderboards</t>
        </is>
      </c>
    </row>
    <row r="12" ht="40" customHeight="1">
      <c r="A12" s="44" t="inlineStr">
        <is>
          <t>BABIP</t>
        </is>
      </c>
      <c r="B12" s="45" t="inlineStr">
        <is>
          <t>Batting Average on Balls In Play. Measures luck/defense for pitchers, luck/skill for hitters. Extreme values tend to regress.</t>
        </is>
      </c>
      <c r="C12" s="46" t="inlineStr">
        <is>
          <t>.300</t>
        </is>
      </c>
      <c r="D12" s="45" t="inlineStr">
        <is>
          <t>FanGraphs / Baseball Reference</t>
        </is>
      </c>
    </row>
    <row r="13" ht="40" customHeight="1">
      <c r="A13" s="41" t="inlineStr">
        <is>
          <t>Barrel Rate</t>
        </is>
      </c>
      <c r="B13" s="42" t="inlineStr">
        <is>
          <t>% of batted balls hit with optimal exit velocity and launch angle. Strongly correlates with future offensive production.</t>
        </is>
      </c>
      <c r="C13" s="43" t="inlineStr">
        <is>
          <t>8.5%</t>
        </is>
      </c>
      <c r="D13" s="42" t="inlineStr">
        <is>
          <t>Baseball Savant</t>
        </is>
      </c>
    </row>
    <row r="14" ht="40" customHeight="1">
      <c r="A14" s="44" t="inlineStr">
        <is>
          <t>Park Factor</t>
        </is>
      </c>
      <c r="B14" s="45" t="inlineStr">
        <is>
          <t>Adjusts for how a ballpark affects run scoring. 100 = neutral. Above 100 = hitter-friendly, below 100 = pitcher-friendly.</t>
        </is>
      </c>
      <c r="C14" s="46" t="inlineStr">
        <is>
          <t>100</t>
        </is>
      </c>
      <c r="D14" s="45" t="inlineStr">
        <is>
          <t>Baseball Reference Park Factors</t>
        </is>
      </c>
    </row>
    <row r="15" ht="40" customHeight="1">
      <c r="A15" s="41" t="inlineStr">
        <is>
          <t>Edge %</t>
        </is>
      </c>
      <c r="B15" s="42" t="inlineStr">
        <is>
          <t>Model Win Probability minus Vegas Implied Probability. Positive edge means the model thinks you have an advantage vs the line.</t>
        </is>
      </c>
      <c r="C15" s="43" t="inlineStr">
        <is>
          <t>N/A</t>
        </is>
      </c>
      <c r="D15" s="42" t="inlineStr">
        <is>
          <t>Calculated by this model</t>
        </is>
      </c>
    </row>
    <row r="16" ht="40" customHeight="1">
      <c r="A16" s="44" t="inlineStr">
        <is>
          <t>Win Probability</t>
        </is>
      </c>
      <c r="B16" s="45" t="inlineStr">
        <is>
          <t>Model's predicted probability of winning based on all input factors. Output of the logistic regression calculation.</t>
        </is>
      </c>
      <c r="C16" s="46" t="inlineStr">
        <is>
          <t>50%</t>
        </is>
      </c>
      <c r="D16" s="45" t="inlineStr">
        <is>
          <t>Calculated by this model</t>
        </is>
      </c>
    </row>
    <row r="17" ht="40" customHeight="1">
      <c r="A17" s="41" t="inlineStr">
        <is>
          <t>Implied Probability</t>
        </is>
      </c>
      <c r="B17" s="42" t="inlineStr">
        <is>
          <t>The win probability implied by the Vegas moneyline. -150 implies 60% chance of winning.</t>
        </is>
      </c>
      <c r="C17" s="43" t="inlineStr">
        <is>
          <t>N/A</t>
        </is>
      </c>
      <c r="D17" s="42" t="inlineStr">
        <is>
          <t>Calculated from moneyline</t>
        </is>
      </c>
    </row>
    <row r="18" ht="10" customHeight="1"/>
    <row r="19">
      <c r="A19" s="6" t="inlineStr">
        <is>
          <t>HOW TO USE THE MODEL</t>
        </is>
      </c>
    </row>
    <row r="20" ht="20" customHeight="1">
      <c r="A20" s="47" t="inlineStr">
        <is>
          <t>Step 1: Go to the 'Game Input' sheet.</t>
        </is>
      </c>
    </row>
    <row r="21" ht="20" customHeight="1">
      <c r="A21" s="48" t="inlineStr">
        <is>
          <t>Step 2: Select Home and Away teams from the dropdown menus (Park Factor auto-populates).</t>
        </is>
      </c>
    </row>
    <row r="22" ht="20" customHeight="1">
      <c r="A22" s="47" t="inlineStr">
        <is>
          <t>Step 3: Enter pitcher stats from FanGraphs.com → Pitchers → Leaderboards.</t>
        </is>
      </c>
    </row>
    <row r="23" ht="20" customHeight="1">
      <c r="A23" s="48" t="inlineStr">
        <is>
          <t>Step 4: Enter team offensive stats from FanGraphs.com → Teams → Offensive stats.</t>
        </is>
      </c>
    </row>
    <row r="24" ht="20" customHeight="1">
      <c r="A24" s="47" t="inlineStr">
        <is>
          <t>Step 5: Enter bullpen stats from FanGraphs.com → Teams → Relief pitchers (filter last 14 days).</t>
        </is>
      </c>
    </row>
    <row r="25" ht="20" customHeight="1">
      <c r="A25" s="48" t="inlineStr">
        <is>
          <t>Step 6: Enter context factors (wind, temp from weather.com; rest days from team schedule).</t>
        </is>
      </c>
    </row>
    <row r="26" ht="20" customHeight="1">
      <c r="A26" s="47" t="inlineStr">
        <is>
          <t>Step 7: Enter Vegas moneyline from your preferred sportsbook.</t>
        </is>
      </c>
    </row>
    <row r="27" ht="20" customHeight="1">
      <c r="A27" s="48" t="inlineStr">
        <is>
          <t>Step 8: Navigate to 'Results Dashboard' to see the model output.</t>
        </is>
      </c>
    </row>
    <row r="28" ht="20" customHeight="1">
      <c r="A28" s="47" t="inlineStr">
        <is>
          <t>Step 9: Only bet when Edge % &gt; 5% and confidence is Medium or High.</t>
        </is>
      </c>
    </row>
    <row r="29" ht="20" customHeight="1">
      <c r="A29" s="48" t="inlineStr">
        <is>
          <t>Step 10: Log every bet in the 'Bet Tracker' sheet to monitor ROI.</t>
        </is>
      </c>
    </row>
  </sheetData>
  <mergeCells count="13">
    <mergeCell ref="A1:D1"/>
    <mergeCell ref="A23:D23"/>
    <mergeCell ref="A27:D27"/>
    <mergeCell ref="A22:D22"/>
    <mergeCell ref="A20:D20"/>
    <mergeCell ref="A21:D21"/>
    <mergeCell ref="A3:D3"/>
    <mergeCell ref="A26:D26"/>
    <mergeCell ref="A29:D29"/>
    <mergeCell ref="A25:D25"/>
    <mergeCell ref="A24:D24"/>
    <mergeCell ref="A19:D19"/>
    <mergeCell ref="A28:D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2026-05-07T01:33:15Z</dcterms:created>
  <dcterms:modified xsi:type="dcterms:W3CDTF">2026-05-07T01:33:15Z</dcterms:modified>
</cp:coreProperties>
</file>